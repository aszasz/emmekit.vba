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docs\Development\emmekit.vba\"/>
    </mc:Choice>
  </mc:AlternateContent>
  <bookViews>
    <workbookView xWindow="420" yWindow="120" windowWidth="11550" windowHeight="5970"/>
  </bookViews>
  <sheets>
    <sheet name="IN and OUT" sheetId="116" r:id="rId1"/>
    <sheet name="gtsfiles" sheetId="34" r:id="rId2"/>
    <sheet name="BPRPlot" sheetId="33" r:id="rId3"/>
    <sheet name="Boarding time function" sheetId="117" r:id="rId4"/>
    <sheet name="Limits" sheetId="35" r:id="rId5"/>
  </sheets>
  <functionGroups builtInGroupCount="18"/>
  <definedNames>
    <definedName name="ConflictNameDatabase">#REF!</definedName>
    <definedName name="_xlnm.Database">#REF!</definedName>
    <definedName name="xxx">#REF!</definedName>
  </definedNames>
  <calcPr calcId="152511"/>
</workbook>
</file>

<file path=xl/calcChain.xml><?xml version="1.0" encoding="utf-8"?>
<calcChain xmlns="http://schemas.openxmlformats.org/spreadsheetml/2006/main">
  <c r="H7" i="117" l="1"/>
  <c r="F178" i="117" l="1"/>
  <c r="F130" i="117"/>
  <c r="F126" i="117"/>
  <c r="F162" i="117"/>
  <c r="F150" i="117"/>
  <c r="F205" i="117"/>
  <c r="F201" i="117"/>
  <c r="H200" i="117" s="1"/>
  <c r="F173" i="117"/>
  <c r="F169" i="117"/>
  <c r="F141" i="117"/>
  <c r="F137" i="117"/>
  <c r="F109" i="117"/>
  <c r="F105" i="117"/>
  <c r="H104" i="117" s="1"/>
  <c r="F77" i="117"/>
  <c r="F73" i="117"/>
  <c r="F45" i="117"/>
  <c r="F41" i="117"/>
  <c r="F13" i="117"/>
  <c r="F96" i="117"/>
  <c r="F28" i="117"/>
  <c r="F23" i="117"/>
  <c r="F167" i="117"/>
  <c r="F159" i="117"/>
  <c r="F103" i="117"/>
  <c r="F83" i="117"/>
  <c r="F88" i="117"/>
  <c r="F82" i="117"/>
  <c r="F195" i="117"/>
  <c r="F180" i="117"/>
  <c r="F31" i="117"/>
  <c r="F24" i="117"/>
  <c r="H23" i="117" s="1"/>
  <c r="F7" i="117"/>
  <c r="F18" i="117" s="1"/>
  <c r="F104" i="117"/>
  <c r="H103" i="117" s="1"/>
  <c r="F92" i="117"/>
  <c r="F164" i="117"/>
  <c r="F128" i="117"/>
  <c r="F200" i="117"/>
  <c r="F172" i="117"/>
  <c r="F132" i="117"/>
  <c r="F86" i="117"/>
  <c r="F74" i="117"/>
  <c r="F203" i="117"/>
  <c r="F14" i="117"/>
  <c r="H13" i="117" s="1"/>
  <c r="F176" i="117"/>
  <c r="F42" i="117"/>
  <c r="F35" i="117"/>
  <c r="F20" i="117"/>
  <c r="F58" i="117"/>
  <c r="F26" i="117"/>
  <c r="F160" i="117"/>
  <c r="F107" i="117"/>
  <c r="F66" i="117"/>
  <c r="H17" i="117" l="1"/>
  <c r="H171" i="117"/>
  <c r="H81" i="117"/>
  <c r="H166" i="117"/>
  <c r="H44" i="117"/>
  <c r="H108" i="117"/>
  <c r="H172" i="117"/>
  <c r="H161" i="117"/>
  <c r="F186" i="117"/>
  <c r="F156" i="117"/>
  <c r="F78" i="117"/>
  <c r="H77" i="117" s="1"/>
  <c r="F68" i="117"/>
  <c r="F52" i="117"/>
  <c r="H51" i="117" s="1"/>
  <c r="F94" i="117"/>
  <c r="F147" i="117"/>
  <c r="H146" i="117" s="1"/>
  <c r="F15" i="117"/>
  <c r="H14" i="117" s="1"/>
  <c r="F179" i="117"/>
  <c r="H178" i="117" s="1"/>
  <c r="F140" i="117"/>
  <c r="F47" i="117"/>
  <c r="F208" i="117"/>
  <c r="F95" i="117"/>
  <c r="F111" i="117"/>
  <c r="H110" i="117" s="1"/>
  <c r="F175" i="117"/>
  <c r="H174" i="117" s="1"/>
  <c r="F39" i="117"/>
  <c r="F17" i="117"/>
  <c r="F49" i="117"/>
  <c r="F81" i="117"/>
  <c r="F113" i="117"/>
  <c r="F145" i="117"/>
  <c r="H144" i="117" s="1"/>
  <c r="F177" i="117"/>
  <c r="H176" i="117" s="1"/>
  <c r="F209" i="117"/>
  <c r="H208" i="117" s="1"/>
  <c r="F170" i="117"/>
  <c r="H169" i="117" s="1"/>
  <c r="F138" i="117"/>
  <c r="H137" i="117" s="1"/>
  <c r="F190" i="117"/>
  <c r="F19" i="117"/>
  <c r="H18" i="117" s="1"/>
  <c r="F108" i="117"/>
  <c r="H107" i="117" s="1"/>
  <c r="F79" i="117"/>
  <c r="H78" i="117" s="1"/>
  <c r="F91" i="117"/>
  <c r="H90" i="117" s="1"/>
  <c r="F120" i="117"/>
  <c r="H119" i="117" s="1"/>
  <c r="F34" i="117"/>
  <c r="F36" i="117"/>
  <c r="H35" i="117" s="1"/>
  <c r="F192" i="117"/>
  <c r="F155" i="117"/>
  <c r="F56" i="117"/>
  <c r="H55" i="117" s="1"/>
  <c r="F184" i="117"/>
  <c r="H183" i="117" s="1"/>
  <c r="F22" i="117"/>
  <c r="H21" i="117" s="1"/>
  <c r="F119" i="117"/>
  <c r="H118" i="117" s="1"/>
  <c r="F183" i="117"/>
  <c r="H182" i="117" s="1"/>
  <c r="F44" i="117"/>
  <c r="F21" i="117"/>
  <c r="H20" i="117" s="1"/>
  <c r="F53" i="117"/>
  <c r="F85" i="117"/>
  <c r="F117" i="117"/>
  <c r="F149" i="117"/>
  <c r="H148" i="117" s="1"/>
  <c r="F181" i="117"/>
  <c r="H180" i="117" s="1"/>
  <c r="F106" i="117"/>
  <c r="H105" i="117" s="1"/>
  <c r="F182" i="117"/>
  <c r="F146" i="117"/>
  <c r="F194" i="117"/>
  <c r="H194" i="117" s="1"/>
  <c r="F50" i="117"/>
  <c r="H49" i="117" s="1"/>
  <c r="F136" i="117"/>
  <c r="H135" i="117" s="1"/>
  <c r="F99" i="117"/>
  <c r="F124" i="117"/>
  <c r="H123" i="117" s="1"/>
  <c r="F171" i="117"/>
  <c r="H170" i="117" s="1"/>
  <c r="F51" i="117"/>
  <c r="F62" i="117"/>
  <c r="F30" i="117"/>
  <c r="F168" i="117"/>
  <c r="H167" i="117" s="1"/>
  <c r="F84" i="117"/>
  <c r="H83" i="117" s="1"/>
  <c r="F43" i="117"/>
  <c r="H42" i="117" s="1"/>
  <c r="F38" i="117"/>
  <c r="H37" i="117" s="1"/>
  <c r="F127" i="117"/>
  <c r="H126" i="117" s="1"/>
  <c r="F191" i="117"/>
  <c r="H190" i="117" s="1"/>
  <c r="F55" i="117"/>
  <c r="F25" i="117"/>
  <c r="H24" i="117" s="1"/>
  <c r="F57" i="117"/>
  <c r="H56" i="117" s="1"/>
  <c r="F89" i="117"/>
  <c r="H88" i="117" s="1"/>
  <c r="F121" i="117"/>
  <c r="F153" i="117"/>
  <c r="H152" i="117" s="1"/>
  <c r="F185" i="117"/>
  <c r="F114" i="117"/>
  <c r="F206" i="117"/>
  <c r="H205" i="117" s="1"/>
  <c r="F154" i="117"/>
  <c r="F198" i="117"/>
  <c r="F75" i="117"/>
  <c r="H74" i="117" s="1"/>
  <c r="F187" i="117"/>
  <c r="H186" i="117" s="1"/>
  <c r="F112" i="117"/>
  <c r="H111" i="117" s="1"/>
  <c r="F139" i="117"/>
  <c r="H138" i="117" s="1"/>
  <c r="F11" i="117"/>
  <c r="H9" i="117" s="1"/>
  <c r="F87" i="117"/>
  <c r="H86" i="117" s="1"/>
  <c r="F80" i="117"/>
  <c r="F46" i="117"/>
  <c r="H45" i="117" s="1"/>
  <c r="F204" i="117"/>
  <c r="H203" i="117" s="1"/>
  <c r="F116" i="117"/>
  <c r="H115" i="117" s="1"/>
  <c r="F48" i="117"/>
  <c r="H47" i="117" s="1"/>
  <c r="F54" i="117"/>
  <c r="F135" i="117"/>
  <c r="F199" i="117"/>
  <c r="F60" i="117"/>
  <c r="F29" i="117"/>
  <c r="H28" i="117" s="1"/>
  <c r="F61" i="117"/>
  <c r="H60" i="117" s="1"/>
  <c r="F93" i="117"/>
  <c r="H92" i="117" s="1"/>
  <c r="F125" i="117"/>
  <c r="H124" i="117" s="1"/>
  <c r="F157" i="117"/>
  <c r="H156" i="117" s="1"/>
  <c r="F189" i="117"/>
  <c r="F122" i="117"/>
  <c r="F102" i="117"/>
  <c r="F158" i="117"/>
  <c r="H157" i="117" s="1"/>
  <c r="F202" i="117"/>
  <c r="H201" i="117" s="1"/>
  <c r="H34" i="117"/>
  <c r="H85" i="117"/>
  <c r="H82" i="117"/>
  <c r="H40" i="117"/>
  <c r="H106" i="117"/>
  <c r="H199" i="117"/>
  <c r="H30" i="117"/>
  <c r="H102" i="117"/>
  <c r="H140" i="117"/>
  <c r="H159" i="117"/>
  <c r="F131" i="117"/>
  <c r="H130" i="117" s="1"/>
  <c r="F59" i="117"/>
  <c r="H58" i="117" s="1"/>
  <c r="F70" i="117"/>
  <c r="H69" i="117" s="1"/>
  <c r="F143" i="117"/>
  <c r="H142" i="117" s="1"/>
  <c r="F207" i="117"/>
  <c r="H206" i="117" s="1"/>
  <c r="F71" i="117"/>
  <c r="F33" i="117"/>
  <c r="F65" i="117"/>
  <c r="F97" i="117"/>
  <c r="H96" i="117" s="1"/>
  <c r="F129" i="117"/>
  <c r="H128" i="117" s="1"/>
  <c r="F161" i="117"/>
  <c r="H160" i="117" s="1"/>
  <c r="F193" i="117"/>
  <c r="H192" i="117" s="1"/>
  <c r="F134" i="117"/>
  <c r="H133" i="117" s="1"/>
  <c r="F110" i="117"/>
  <c r="H109" i="117" s="1"/>
  <c r="F166" i="117"/>
  <c r="F210" i="117"/>
  <c r="H25" i="117"/>
  <c r="H127" i="117"/>
  <c r="H179" i="117"/>
  <c r="H158" i="117"/>
  <c r="H72" i="117"/>
  <c r="H41" i="117"/>
  <c r="H73" i="117"/>
  <c r="H163" i="117"/>
  <c r="H87" i="117"/>
  <c r="H19" i="117"/>
  <c r="F148" i="117"/>
  <c r="F152" i="117"/>
  <c r="F32" i="117"/>
  <c r="H31" i="117" s="1"/>
  <c r="F98" i="117"/>
  <c r="H97" i="117" s="1"/>
  <c r="F100" i="117"/>
  <c r="F63" i="117"/>
  <c r="H62" i="117" s="1"/>
  <c r="F40" i="117"/>
  <c r="F196" i="117"/>
  <c r="H195" i="117" s="1"/>
  <c r="F27" i="117"/>
  <c r="H26" i="117" s="1"/>
  <c r="F163" i="117"/>
  <c r="H162" i="117" s="1"/>
  <c r="F188" i="117"/>
  <c r="H187" i="117" s="1"/>
  <c r="F67" i="117"/>
  <c r="H66" i="117" s="1"/>
  <c r="F123" i="117"/>
  <c r="H122" i="117" s="1"/>
  <c r="F115" i="117"/>
  <c r="H114" i="117" s="1"/>
  <c r="F72" i="117"/>
  <c r="F16" i="117"/>
  <c r="H15" i="117" s="1"/>
  <c r="F144" i="117"/>
  <c r="F64" i="117"/>
  <c r="H63" i="117" s="1"/>
  <c r="F76" i="117"/>
  <c r="H75" i="117" s="1"/>
  <c r="F151" i="117"/>
  <c r="H150" i="117" s="1"/>
  <c r="F12" i="117"/>
  <c r="H11" i="117" s="1"/>
  <c r="F90" i="117"/>
  <c r="F37" i="117"/>
  <c r="H36" i="117" s="1"/>
  <c r="F69" i="117"/>
  <c r="F101" i="117"/>
  <c r="H100" i="117" s="1"/>
  <c r="F133" i="117"/>
  <c r="H132" i="117" s="1"/>
  <c r="F165" i="117"/>
  <c r="H164" i="117" s="1"/>
  <c r="F197" i="117"/>
  <c r="H196" i="117" s="1"/>
  <c r="F142" i="117"/>
  <c r="H141" i="117" s="1"/>
  <c r="F118" i="117"/>
  <c r="F174" i="117"/>
  <c r="H173" i="117" s="1"/>
  <c r="H93" i="117" l="1"/>
  <c r="H116" i="117"/>
  <c r="H143" i="117"/>
  <c r="H84" i="117"/>
  <c r="H67" i="117"/>
  <c r="H177" i="117"/>
  <c r="H101" i="117"/>
  <c r="H153" i="117"/>
  <c r="H29" i="117"/>
  <c r="H154" i="117"/>
  <c r="H46" i="117"/>
  <c r="H71" i="117"/>
  <c r="H39" i="117"/>
  <c r="H204" i="117"/>
  <c r="H168" i="117"/>
  <c r="H210" i="117"/>
  <c r="H209" i="117"/>
  <c r="H64" i="117"/>
  <c r="H136" i="117"/>
  <c r="H121" i="117"/>
  <c r="H198" i="117"/>
  <c r="H54" i="117"/>
  <c r="H61" i="117"/>
  <c r="H145" i="117"/>
  <c r="H191" i="117"/>
  <c r="H189" i="117"/>
  <c r="H48" i="117"/>
  <c r="H139" i="117"/>
  <c r="H155" i="117"/>
  <c r="H175" i="117"/>
  <c r="H120" i="117"/>
  <c r="H151" i="117"/>
  <c r="H94" i="117"/>
  <c r="H147" i="117"/>
  <c r="H112" i="117"/>
  <c r="H68" i="117"/>
  <c r="H59" i="117"/>
  <c r="H52" i="117"/>
  <c r="H80" i="117"/>
  <c r="H117" i="117"/>
  <c r="H89" i="117"/>
  <c r="H76" i="117"/>
  <c r="H165" i="117"/>
  <c r="H32" i="117"/>
  <c r="H188" i="117"/>
  <c r="H134" i="117"/>
  <c r="H113" i="117"/>
  <c r="H50" i="117"/>
  <c r="H181" i="117"/>
  <c r="H43" i="117"/>
  <c r="H16" i="117"/>
  <c r="H185" i="117"/>
  <c r="H131" i="117"/>
  <c r="H65" i="117"/>
  <c r="H125" i="117"/>
  <c r="H98" i="117"/>
  <c r="H22" i="117"/>
  <c r="H202" i="117"/>
  <c r="H197" i="117"/>
  <c r="H207" i="117"/>
  <c r="H91" i="117"/>
  <c r="H149" i="117"/>
  <c r="H79" i="117"/>
  <c r="H193" i="117"/>
  <c r="H99" i="117"/>
  <c r="H27" i="117"/>
  <c r="H95" i="117"/>
  <c r="H70" i="117"/>
  <c r="H12" i="117"/>
  <c r="H53" i="117"/>
  <c r="H184" i="117"/>
  <c r="H33" i="117"/>
  <c r="H38" i="117"/>
  <c r="H129" i="117"/>
  <c r="H57" i="117"/>
  <c r="J40" i="33" l="1"/>
  <c r="J42" i="33"/>
  <c r="J41" i="33"/>
  <c r="G53" i="33"/>
  <c r="F53" i="33"/>
  <c r="E53" i="33"/>
  <c r="K57" i="33"/>
  <c r="K58" i="33"/>
  <c r="K59" i="33"/>
  <c r="K60" i="33"/>
  <c r="K61" i="33"/>
  <c r="K62" i="33"/>
  <c r="K63" i="33"/>
  <c r="K6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92" i="33"/>
  <c r="K93" i="33"/>
  <c r="K94" i="33"/>
  <c r="K95" i="33"/>
  <c r="K96" i="33"/>
  <c r="K97" i="33"/>
  <c r="K98" i="33"/>
  <c r="K99" i="33"/>
  <c r="K100" i="33"/>
  <c r="K101" i="33"/>
  <c r="K102" i="33"/>
  <c r="K103" i="33"/>
  <c r="K104" i="33"/>
  <c r="K105" i="33"/>
  <c r="K106" i="33"/>
  <c r="K107" i="33"/>
  <c r="K66" i="33"/>
  <c r="K67" i="33"/>
  <c r="K68" i="33"/>
  <c r="K69" i="33"/>
  <c r="K70" i="33"/>
  <c r="K71" i="33"/>
  <c r="K72" i="33"/>
  <c r="K73" i="33"/>
  <c r="K74" i="33"/>
  <c r="K65" i="33"/>
  <c r="J79" i="33"/>
  <c r="J107" i="33"/>
  <c r="J66" i="33"/>
  <c r="J67" i="33"/>
  <c r="J68" i="33"/>
  <c r="J69" i="33"/>
  <c r="J70" i="33"/>
  <c r="J71" i="33"/>
  <c r="J72" i="33"/>
  <c r="J73" i="33"/>
  <c r="J74" i="33"/>
  <c r="J75" i="33"/>
  <c r="J76" i="33"/>
  <c r="J77" i="33"/>
  <c r="J78" i="33"/>
  <c r="J80" i="33"/>
  <c r="J81" i="33"/>
  <c r="J82" i="33"/>
  <c r="J83" i="33"/>
  <c r="J84" i="33"/>
  <c r="J85" i="33"/>
  <c r="J86" i="33"/>
  <c r="J87" i="33"/>
  <c r="J88" i="33"/>
  <c r="J89" i="33"/>
  <c r="J90" i="33"/>
  <c r="J91" i="33"/>
  <c r="J92" i="33"/>
  <c r="J93" i="33"/>
  <c r="J94" i="33"/>
  <c r="J95" i="33"/>
  <c r="J96" i="33"/>
  <c r="J97" i="33"/>
  <c r="J98" i="33"/>
  <c r="J99" i="33"/>
  <c r="J100" i="33"/>
  <c r="J101" i="33"/>
  <c r="J102" i="33"/>
  <c r="J103" i="33"/>
  <c r="J104" i="33"/>
  <c r="J105" i="33"/>
  <c r="J106" i="33"/>
  <c r="J64" i="33"/>
  <c r="J57" i="33"/>
  <c r="J58" i="33"/>
  <c r="J59" i="33"/>
  <c r="J60" i="33"/>
  <c r="J61" i="33"/>
  <c r="J62" i="33"/>
  <c r="J63" i="33"/>
  <c r="J65" i="33"/>
  <c r="I65" i="33"/>
  <c r="H65" i="33"/>
  <c r="I71" i="33"/>
  <c r="H57" i="33"/>
  <c r="I77" i="33"/>
  <c r="I78" i="33"/>
  <c r="I79" i="33"/>
  <c r="I80" i="33"/>
  <c r="I81" i="33"/>
  <c r="I82" i="33"/>
  <c r="I83" i="33"/>
  <c r="I84" i="33"/>
  <c r="I85" i="33"/>
  <c r="I86" i="33"/>
  <c r="I87" i="33"/>
  <c r="I88" i="33"/>
  <c r="I89" i="33"/>
  <c r="I90" i="33"/>
  <c r="I91" i="33"/>
  <c r="I92" i="33"/>
  <c r="I93" i="33"/>
  <c r="I94" i="33"/>
  <c r="I95" i="33"/>
  <c r="I96" i="33"/>
  <c r="I97" i="33"/>
  <c r="I98" i="33"/>
  <c r="I99" i="33"/>
  <c r="I100" i="33"/>
  <c r="I101" i="33"/>
  <c r="I102" i="33"/>
  <c r="I103" i="33"/>
  <c r="I104" i="33"/>
  <c r="I105" i="33"/>
  <c r="I106" i="33"/>
  <c r="I107" i="33"/>
  <c r="I66" i="33"/>
  <c r="I67" i="33"/>
  <c r="I68" i="33"/>
  <c r="I69" i="33"/>
  <c r="I70" i="33"/>
  <c r="I72" i="33"/>
  <c r="I73" i="33"/>
  <c r="I74" i="33"/>
  <c r="I75" i="33"/>
  <c r="I76" i="33"/>
  <c r="H73" i="33"/>
  <c r="H74" i="33"/>
  <c r="H75" i="33"/>
  <c r="H76" i="33"/>
  <c r="H77" i="33"/>
  <c r="H78" i="33"/>
  <c r="H79" i="33"/>
  <c r="H80" i="33"/>
  <c r="H81" i="33"/>
  <c r="H82" i="33"/>
  <c r="H83" i="33"/>
  <c r="H84" i="33"/>
  <c r="H85" i="33"/>
  <c r="H86" i="33"/>
  <c r="H87" i="33"/>
  <c r="H88" i="33"/>
  <c r="H89" i="33"/>
  <c r="H90" i="33"/>
  <c r="H91" i="33"/>
  <c r="H92" i="33"/>
  <c r="H93" i="33"/>
  <c r="H94" i="33"/>
  <c r="H95" i="33"/>
  <c r="H96" i="33"/>
  <c r="H97" i="33"/>
  <c r="H98" i="33"/>
  <c r="H99" i="33"/>
  <c r="H100" i="33"/>
  <c r="H101" i="33"/>
  <c r="H102" i="33"/>
  <c r="H103" i="33"/>
  <c r="H104" i="33"/>
  <c r="H105" i="33"/>
  <c r="H106" i="33"/>
  <c r="H107" i="33"/>
  <c r="H58" i="33"/>
  <c r="H59" i="33"/>
  <c r="H60" i="33"/>
  <c r="H61" i="33"/>
  <c r="H62" i="33"/>
  <c r="H63" i="33"/>
  <c r="H64" i="33"/>
  <c r="H66" i="33"/>
  <c r="H67" i="33"/>
  <c r="H68" i="33"/>
  <c r="H69" i="33"/>
  <c r="H70" i="33"/>
  <c r="H71" i="33"/>
  <c r="H72" i="33"/>
  <c r="F63" i="33"/>
  <c r="G65" i="33"/>
  <c r="G66" i="33"/>
  <c r="G67" i="33"/>
  <c r="G68" i="33"/>
  <c r="G69" i="33"/>
  <c r="G70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G84" i="33"/>
  <c r="G85" i="33"/>
  <c r="G86" i="33"/>
  <c r="G87" i="33"/>
  <c r="G88" i="33"/>
  <c r="G89" i="33"/>
  <c r="G90" i="33"/>
  <c r="G91" i="33"/>
  <c r="G92" i="33"/>
  <c r="G93" i="33"/>
  <c r="G94" i="33"/>
  <c r="G95" i="33"/>
  <c r="G96" i="33"/>
  <c r="G97" i="33"/>
  <c r="G98" i="33"/>
  <c r="G99" i="33"/>
  <c r="G100" i="33"/>
  <c r="G101" i="33"/>
  <c r="G102" i="33"/>
  <c r="G103" i="33"/>
  <c r="G104" i="33"/>
  <c r="G105" i="33"/>
  <c r="G106" i="33"/>
  <c r="G107" i="33"/>
  <c r="F66" i="33"/>
  <c r="E64" i="33"/>
  <c r="F64" i="33"/>
  <c r="E65" i="33"/>
  <c r="F65" i="33"/>
  <c r="E66" i="33"/>
  <c r="E67" i="33"/>
  <c r="F67" i="33"/>
  <c r="E68" i="33"/>
  <c r="F68" i="33"/>
  <c r="E69" i="33"/>
  <c r="F69" i="33"/>
  <c r="E70" i="33"/>
  <c r="F70" i="33"/>
  <c r="E71" i="33"/>
  <c r="F71" i="33"/>
  <c r="E72" i="33"/>
  <c r="F72" i="33"/>
  <c r="E73" i="33"/>
  <c r="F73" i="33"/>
  <c r="E74" i="33"/>
  <c r="F74" i="33"/>
  <c r="E75" i="33"/>
  <c r="F75" i="33"/>
  <c r="E76" i="33"/>
  <c r="F76" i="33"/>
  <c r="E77" i="33"/>
  <c r="F77" i="33"/>
  <c r="E78" i="33"/>
  <c r="F78" i="33"/>
  <c r="E79" i="33"/>
  <c r="F79" i="33"/>
  <c r="E80" i="33"/>
  <c r="F80" i="33"/>
  <c r="E81" i="33"/>
  <c r="F81" i="33"/>
  <c r="E82" i="33"/>
  <c r="F82" i="33"/>
  <c r="E83" i="33"/>
  <c r="F83" i="33"/>
  <c r="E84" i="33"/>
  <c r="F84" i="33"/>
  <c r="E85" i="33"/>
  <c r="F85" i="33"/>
  <c r="E86" i="33"/>
  <c r="F86" i="33"/>
  <c r="E87" i="33"/>
  <c r="F87" i="33"/>
  <c r="E88" i="33"/>
  <c r="F88" i="33"/>
  <c r="E89" i="33"/>
  <c r="F89" i="33"/>
  <c r="E90" i="33"/>
  <c r="F90" i="33"/>
  <c r="E91" i="33"/>
  <c r="F91" i="33"/>
  <c r="E92" i="33"/>
  <c r="F92" i="33"/>
  <c r="E93" i="33"/>
  <c r="F93" i="33"/>
  <c r="E94" i="33"/>
  <c r="F94" i="33"/>
  <c r="E95" i="33"/>
  <c r="F95" i="33"/>
  <c r="E96" i="33"/>
  <c r="F96" i="33"/>
  <c r="E97" i="33"/>
  <c r="F97" i="33"/>
  <c r="E98" i="33"/>
  <c r="F98" i="33"/>
  <c r="E99" i="33"/>
  <c r="F99" i="33"/>
  <c r="E100" i="33"/>
  <c r="F100" i="33"/>
  <c r="E101" i="33"/>
  <c r="F101" i="33"/>
  <c r="E102" i="33"/>
  <c r="F102" i="33"/>
  <c r="E103" i="33"/>
  <c r="F103" i="33"/>
  <c r="E104" i="33"/>
  <c r="F104" i="33"/>
  <c r="E105" i="33"/>
  <c r="F105" i="33"/>
  <c r="E106" i="33"/>
  <c r="F106" i="33"/>
  <c r="E107" i="33"/>
  <c r="F107" i="33"/>
  <c r="F60" i="33"/>
  <c r="F62" i="33"/>
  <c r="F61" i="33"/>
  <c r="E57" i="33"/>
  <c r="E63" i="33"/>
  <c r="E62" i="33"/>
  <c r="E61" i="33"/>
  <c r="E60" i="33"/>
  <c r="E59" i="33"/>
  <c r="E58" i="33"/>
  <c r="E36" i="34" l="1"/>
  <c r="F36" i="34"/>
  <c r="G36" i="34" s="1"/>
  <c r="P57" i="35" l="1"/>
  <c r="O58" i="35"/>
  <c r="P58" i="35" s="1"/>
  <c r="Q54" i="35"/>
  <c r="Q53" i="35"/>
  <c r="O51" i="35"/>
  <c r="P50" i="35"/>
  <c r="Q46" i="35"/>
  <c r="Q47" i="35"/>
  <c r="Q48" i="35"/>
  <c r="Q49" i="35"/>
  <c r="Q45" i="35"/>
  <c r="Q50" i="35" l="1"/>
  <c r="Q51" i="35" s="1"/>
  <c r="C46" i="33"/>
  <c r="B46" i="33" s="1"/>
  <c r="C48" i="33"/>
  <c r="B48" i="33" s="1"/>
  <c r="B47" i="33"/>
  <c r="D47" i="33"/>
  <c r="F47" i="33" s="1"/>
  <c r="D45" i="33"/>
  <c r="F45" i="33" s="1"/>
  <c r="B45" i="33"/>
  <c r="B41" i="33"/>
  <c r="B42" i="33"/>
  <c r="B43" i="33"/>
  <c r="B40" i="33"/>
  <c r="D40" i="33"/>
  <c r="F40" i="33" s="1"/>
  <c r="D41" i="33"/>
  <c r="F41" i="33"/>
  <c r="D42" i="33"/>
  <c r="F42" i="33" s="1"/>
  <c r="D43" i="33"/>
  <c r="F43" i="33"/>
  <c r="D30" i="35" l="1"/>
  <c r="E143" i="34" l="1"/>
  <c r="E142" i="34"/>
  <c r="Q3" i="33" l="1"/>
  <c r="R3" i="33"/>
  <c r="Q1" i="33"/>
  <c r="M3" i="33" l="1"/>
  <c r="M2" i="33"/>
  <c r="D179" i="34"/>
  <c r="E179" i="34" s="1"/>
  <c r="F179" i="34" s="1"/>
  <c r="M1" i="33" l="1"/>
  <c r="N1" i="33" s="1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E9" i="33"/>
  <c r="E10" i="33"/>
  <c r="E11" i="33"/>
  <c r="E12" i="33"/>
  <c r="E13" i="33"/>
  <c r="E14" i="33"/>
  <c r="E15" i="33"/>
  <c r="E16" i="33"/>
  <c r="E17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18" i="33"/>
  <c r="H1" i="33"/>
  <c r="K2" i="33" s="1"/>
  <c r="D7" i="33"/>
  <c r="E7" i="33"/>
  <c r="F7" i="33"/>
  <c r="G7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D10" i="33"/>
  <c r="D11" i="33"/>
  <c r="D12" i="33"/>
  <c r="D13" i="33"/>
  <c r="D14" i="33"/>
  <c r="D15" i="33"/>
  <c r="D16" i="33"/>
  <c r="D17" i="33"/>
  <c r="D18" i="33"/>
  <c r="D19" i="33"/>
  <c r="D20" i="33"/>
  <c r="D21" i="33"/>
  <c r="D22" i="33"/>
  <c r="D23" i="33"/>
  <c r="D24" i="33"/>
  <c r="D25" i="33"/>
  <c r="D26" i="33"/>
  <c r="D27" i="33"/>
  <c r="D28" i="33"/>
  <c r="D29" i="33"/>
  <c r="D30" i="33"/>
  <c r="D31" i="33"/>
  <c r="D32" i="33"/>
  <c r="D9" i="33"/>
  <c r="H7" i="33"/>
  <c r="J2" i="33"/>
</calcChain>
</file>

<file path=xl/sharedStrings.xml><?xml version="1.0" encoding="utf-8"?>
<sst xmlns="http://schemas.openxmlformats.org/spreadsheetml/2006/main" count="1281" uniqueCount="279">
  <si>
    <t>d</t>
  </si>
  <si>
    <t>volume/capacidade</t>
  </si>
  <si>
    <t>alfa</t>
  </si>
  <si>
    <t>beta</t>
  </si>
  <si>
    <t>atraso</t>
  </si>
  <si>
    <t>v/c</t>
  </si>
  <si>
    <t>multiplica parcela</t>
  </si>
  <si>
    <t>parcela V/C</t>
  </si>
  <si>
    <t>stops.txt</t>
  </si>
  <si>
    <t>stop_id</t>
  </si>
  <si>
    <t>stop_code</t>
  </si>
  <si>
    <t>stop_name</t>
  </si>
  <si>
    <t>stop_desc</t>
  </si>
  <si>
    <t>stop_lat</t>
  </si>
  <si>
    <t>stop_lon</t>
  </si>
  <si>
    <t>zone_id</t>
  </si>
  <si>
    <t>stop_url</t>
  </si>
  <si>
    <t>location_type</t>
  </si>
  <si>
    <t>parent_station</t>
  </si>
  <si>
    <t>WMATA\stops.txt</t>
  </si>
  <si>
    <t>RideOn\stops.txt</t>
  </si>
  <si>
    <t>MTA\stops.txt</t>
  </si>
  <si>
    <t>ReadStops</t>
  </si>
  <si>
    <t>WriteEMMENet</t>
  </si>
  <si>
    <t>ReadShapes</t>
  </si>
  <si>
    <t>WMATA\shapes.txt</t>
  </si>
  <si>
    <t>WriteEMMEROute</t>
  </si>
  <si>
    <t>WriteEMMECosmetic</t>
  </si>
  <si>
    <t>CosmeticMD</t>
  </si>
  <si>
    <t>ReadRoutes</t>
  </si>
  <si>
    <t>ReadTrips</t>
  </si>
  <si>
    <t>ReadStopTimes</t>
  </si>
  <si>
    <t>RideOn\stop_times.txt</t>
  </si>
  <si>
    <t>RideOn\trips.txt</t>
  </si>
  <si>
    <t>RideOn\routes.txt</t>
  </si>
  <si>
    <t>Friday 10th, stopped in the reading of gtfs stop_times... Need to associate to Routes and check if the stops are in Route and use this infreastructure to input APC and AVL</t>
  </si>
  <si>
    <t>WMATA\routes.txt</t>
  </si>
  <si>
    <t>WMATA\trips.txt</t>
  </si>
  <si>
    <t>WMATA\stop_times.txt</t>
  </si>
  <si>
    <t>Reg</t>
  </si>
  <si>
    <t>ORN</t>
  </si>
  <si>
    <t>ORN+TDM</t>
  </si>
  <si>
    <t>MarkRouteUturns</t>
  </si>
  <si>
    <t>Points from RideOnShapes</t>
  </si>
  <si>
    <t>MontCo in Gearth</t>
  </si>
  <si>
    <t>ReadShapesWL</t>
  </si>
  <si>
    <t>MTA\shapes.txt</t>
  </si>
  <si>
    <t>RideOn\shapes.txt</t>
  </si>
  <si>
    <t>JoinRoutes</t>
  </si>
  <si>
    <t>P:Metrojoinedroutes</t>
  </si>
  <si>
    <t>deletada</t>
  </si>
  <si>
    <t>encorpada</t>
  </si>
  <si>
    <t>ShapeIDWAS</t>
  </si>
  <si>
    <t>ShapeIDIS</t>
  </si>
  <si>
    <t>WriteEMMEROuteOC</t>
  </si>
  <si>
    <t>ReadShapesBAS</t>
  </si>
  <si>
    <t>MTA\routes.txt</t>
  </si>
  <si>
    <t>MTA\trips.txt</t>
  </si>
  <si>
    <t>WriteRouteSum</t>
  </si>
  <si>
    <t>P:RoutesSum</t>
  </si>
  <si>
    <t>MetroStations</t>
  </si>
  <si>
    <t>Shady Grove</t>
  </si>
  <si>
    <t>Rockville</t>
  </si>
  <si>
    <t>Twinbrook</t>
  </si>
  <si>
    <t>White Flint</t>
  </si>
  <si>
    <t>Medical Center</t>
  </si>
  <si>
    <t>Bethesda</t>
  </si>
  <si>
    <t>Friendship Heights</t>
  </si>
  <si>
    <t>Cleveland Park</t>
  </si>
  <si>
    <t>Woodley Park</t>
  </si>
  <si>
    <t>Dupont Circle</t>
  </si>
  <si>
    <t>Farragut North</t>
  </si>
  <si>
    <t>Judiciary Square</t>
  </si>
  <si>
    <t>Union Station</t>
  </si>
  <si>
    <t>Takoma</t>
  </si>
  <si>
    <t>Silver Spring</t>
  </si>
  <si>
    <t>Forest Glen</t>
  </si>
  <si>
    <t>Wheaton</t>
  </si>
  <si>
    <t>Glenmont</t>
  </si>
  <si>
    <t>Grosvenor/Strathmore</t>
  </si>
  <si>
    <t>Tenleytown/AU</t>
  </si>
  <si>
    <t>Van Ness/UDC</t>
  </si>
  <si>
    <t>Metro Center</t>
  </si>
  <si>
    <t>Gallery Place</t>
  </si>
  <si>
    <t xml:space="preserve">NoMa/Gallaudet University </t>
  </si>
  <si>
    <t>Rhode Island Avenue/Brentwood</t>
  </si>
  <si>
    <t>Brookland/CUA</t>
  </si>
  <si>
    <t xml:space="preserve">Fort Totten </t>
  </si>
  <si>
    <t>GLEN</t>
  </si>
  <si>
    <t>WHEA</t>
  </si>
  <si>
    <t>FORG</t>
  </si>
  <si>
    <t>SILV</t>
  </si>
  <si>
    <t>TAKO</t>
  </si>
  <si>
    <t>FORT</t>
  </si>
  <si>
    <t>BROK</t>
  </si>
  <si>
    <t>ROCK</t>
  </si>
  <si>
    <t>SHAD</t>
  </si>
  <si>
    <t>TWIN</t>
  </si>
  <si>
    <t>WFLT</t>
  </si>
  <si>
    <t>GROS</t>
  </si>
  <si>
    <t>MEDC</t>
  </si>
  <si>
    <t>BETH</t>
  </si>
  <si>
    <t>FRIE</t>
  </si>
  <si>
    <t>TENL</t>
  </si>
  <si>
    <t>UDC</t>
  </si>
  <si>
    <t>CLEV</t>
  </si>
  <si>
    <t>WOOD</t>
  </si>
  <si>
    <t>DUPC</t>
  </si>
  <si>
    <t>FARR</t>
  </si>
  <si>
    <t>METC</t>
  </si>
  <si>
    <t>GALL</t>
  </si>
  <si>
    <t>JUDS</t>
  </si>
  <si>
    <t>UNIO</t>
  </si>
  <si>
    <t>NOMA</t>
  </si>
  <si>
    <t>BREN</t>
  </si>
  <si>
    <t>OTHER</t>
  </si>
  <si>
    <t>METRO</t>
  </si>
  <si>
    <t>extensão do link</t>
  </si>
  <si>
    <t>detour amissível</t>
  </si>
  <si>
    <t>ReadEMMENetwork</t>
  </si>
  <si>
    <t>ReadEMMERoutes</t>
  </si>
  <si>
    <t>MTA\stop_times.txt</t>
  </si>
  <si>
    <t>InsertStops</t>
  </si>
  <si>
    <t>WriteStopsTable</t>
  </si>
  <si>
    <t>P:Stoptable24</t>
  </si>
  <si>
    <t>WriteRoutesStopTimes</t>
  </si>
  <si>
    <t>RideOn\stoptimesKLIN.txt</t>
  </si>
  <si>
    <t>WMATA\stoptimesKLIN.txt</t>
  </si>
  <si>
    <t>MTA\stoptimesKLIN.txt</t>
  </si>
  <si>
    <t>ReadStopsTable</t>
  </si>
  <si>
    <t>WriteLinkFreqs</t>
  </si>
  <si>
    <t>ReadStopTimesSTab</t>
  </si>
  <si>
    <t>GetLinkFreqSpeeds</t>
  </si>
  <si>
    <t>WriteLinkFreqsAT</t>
  </si>
  <si>
    <t>P:Stoptable23R</t>
  </si>
  <si>
    <t xml:space="preserve">   756290  755113  116816   </t>
  </si>
  <si>
    <t>z29</t>
  </si>
  <si>
    <t xml:space="preserve">        </t>
  </si>
  <si>
    <t>b</t>
  </si>
  <si>
    <t>z6</t>
  </si>
  <si>
    <t>BRT Corridors from_to</t>
  </si>
  <si>
    <t>Veirs Mill</t>
  </si>
  <si>
    <t>Georgia South</t>
  </si>
  <si>
    <t>Georgia North</t>
  </si>
  <si>
    <t>MD355 South</t>
  </si>
  <si>
    <t>MD355 North</t>
  </si>
  <si>
    <t>4a</t>
  </si>
  <si>
    <t>4b</t>
  </si>
  <si>
    <t>10b</t>
  </si>
  <si>
    <t>10a</t>
  </si>
  <si>
    <t>US29</t>
  </si>
  <si>
    <t>ClearBackForth</t>
  </si>
  <si>
    <t>vehicles/hour</t>
  </si>
  <si>
    <t>space between cars</t>
  </si>
  <si>
    <t>speed in mile in a HIGHWAY</t>
  </si>
  <si>
    <t>RideOn_Loads</t>
  </si>
  <si>
    <t>WMATA_Loads</t>
  </si>
  <si>
    <t>AdjustonTotalDaily</t>
  </si>
  <si>
    <t>Summary_RoutesGroups</t>
  </si>
  <si>
    <t>AdjustSampledTrips</t>
  </si>
  <si>
    <t>LoadNoSampledTripsinSampledRoutes</t>
  </si>
  <si>
    <t>LoadNoSampledRoutes</t>
  </si>
  <si>
    <t>P:DailyProfile/4/32</t>
  </si>
  <si>
    <t>ReportTotalDaily</t>
  </si>
  <si>
    <t>P:RouteGroups/402/2</t>
  </si>
  <si>
    <t>P:RouteGroups/401/8</t>
  </si>
  <si>
    <t>Load_LinksGPS&lt;-- Done already in RideOn_Loads (WMATA has no speeds)</t>
  </si>
  <si>
    <t>Load_LinksSchedule&lt;-- Call GetLinkFreqSpeeds</t>
  </si>
  <si>
    <t>FillTraveltime</t>
  </si>
  <si>
    <t>P:Velocidades/15/8</t>
  </si>
  <si>
    <t>walkdistance</t>
  </si>
  <si>
    <t>front</t>
  </si>
  <si>
    <t>metros=450 segundos</t>
  </si>
  <si>
    <t>minutos</t>
  </si>
  <si>
    <t>minutos equivalentes ao carro</t>
  </si>
  <si>
    <t>caminhada</t>
  </si>
  <si>
    <t>espera</t>
  </si>
  <si>
    <t>28 minutes</t>
  </si>
  <si>
    <t>WriteTripsAll</t>
  </si>
  <si>
    <t>ReadTripsAll</t>
  </si>
  <si>
    <t>WriteLinksGPSInfo</t>
  </si>
  <si>
    <t>ReadLinksGPSInfo</t>
  </si>
  <si>
    <t>o</t>
  </si>
  <si>
    <t>ul1</t>
  </si>
  <si>
    <t>Surroundings of stations and intersections along corridors</t>
  </si>
  <si>
    <t>not supposed to change state of route (IN or OUT)</t>
  </si>
  <si>
    <t>corredor</t>
  </si>
  <si>
    <t>P:RouteGroups/401/14</t>
  </si>
  <si>
    <t>x</t>
  </si>
  <si>
    <t>S</t>
  </si>
  <si>
    <t>Flybird</t>
  </si>
  <si>
    <t>birds</t>
  </si>
  <si>
    <t>bonus</t>
  </si>
  <si>
    <t xml:space="preserve"> 6 / 3</t>
  </si>
  <si>
    <t xml:space="preserve"> 11 / 6</t>
  </si>
  <si>
    <t xml:space="preserve"> 11 / 6 / 3</t>
  </si>
  <si>
    <t xml:space="preserve"> 11 / 3</t>
  </si>
  <si>
    <t>Standard Folder--&gt;</t>
  </si>
  <si>
    <t>C:\Users\User\Documents\Professional\RioUnificado\Database</t>
  </si>
  <si>
    <t>command</t>
  </si>
  <si>
    <t>Files and worksheets</t>
  </si>
  <si>
    <t>PROMPT in ERROR?</t>
  </si>
  <si>
    <t>StandardFolder?</t>
  </si>
  <si>
    <t>input</t>
  </si>
  <si>
    <t>D:\Users\arthur.szasz\Documents\Professional\RioUnificado\Database\Base1.out</t>
  </si>
  <si>
    <t>input: lê arquivos gerados pelo EMME ou no formato do EMME: identificando o tipo de objeto em função da linha começar com t (ou t init):  nodes, modes, links, turns, vehicles, routes matrices, functions.</t>
  </si>
  <si>
    <t>D:\Users\arthur.szasz\Documents\Professional\RioUnificado\Database\routes1.out</t>
  </si>
  <si>
    <t>Worksheets("RotasAtualizadas.xlsm").Sheets("Rotas")</t>
  </si>
  <si>
    <t>corridor</t>
  </si>
  <si>
    <t>C:\Users\User\Documents\Professional\RioUnificado\LAMSA4.xlsx</t>
  </si>
  <si>
    <t>route</t>
  </si>
  <si>
    <t>Worksheets("EmmestuffdoerRJ.xlsm").Sheets("Contagens")</t>
  </si>
  <si>
    <t>rename</t>
  </si>
  <si>
    <t>D:\Users\arthur.szasz\Documents\Administrative\AgendaOITO.xls</t>
  </si>
  <si>
    <t>outputmodes</t>
  </si>
  <si>
    <t>C:\Users\User\Documents\BH_Resultados_Rede_Cenários_Consolidados.xlsx</t>
  </si>
  <si>
    <t>outputvehicles</t>
  </si>
  <si>
    <t>vehiclesout</t>
  </si>
  <si>
    <t>outputnetwork</t>
  </si>
  <si>
    <t>outputtransit</t>
  </si>
  <si>
    <t>Worksheets("Headway necessários.xlsx").sheets("Sheet3")</t>
  </si>
  <si>
    <t>outputmodeschanges</t>
  </si>
  <si>
    <t>outputvehicleschanges</t>
  </si>
  <si>
    <t>outputnetworkchanges</t>
  </si>
  <si>
    <t>integrate</t>
  </si>
  <si>
    <t>modeselection</t>
  </si>
  <si>
    <t>Lotacao maxima</t>
  </si>
  <si>
    <t>SS0</t>
  </si>
  <si>
    <t>ksb</t>
  </si>
  <si>
    <t>passg</t>
  </si>
  <si>
    <t>tgs</t>
  </si>
  <si>
    <t>PointShapes241.in</t>
  </si>
  <si>
    <t>ShapeRoutes241.in</t>
  </si>
  <si>
    <t>TripInput.txt</t>
  </si>
  <si>
    <t>LinkGPSInput.txt</t>
  </si>
  <si>
    <t>newfreq.txt</t>
  </si>
  <si>
    <t>totalpax.txt</t>
  </si>
  <si>
    <t>Ridership data\RideOn_APC.xlsx</t>
  </si>
  <si>
    <t>\\gtfs\</t>
  </si>
  <si>
    <t>\\Arthur\TripInput.txt</t>
  </si>
  <si>
    <t>\\Arthur\TripInputCAR.txt</t>
  </si>
  <si>
    <t>\\Arthur\TripInputBUS.txt</t>
  </si>
  <si>
    <t>\\Arthur\LinkGPSInput.txt</t>
  </si>
  <si>
    <t>\\Arthur\LinkGPSInputCAR.txt</t>
  </si>
  <si>
    <t>\\Arthur\LinkGPSInputBUS.txt</t>
  </si>
  <si>
    <t>\\Ridership data\WMATA_APC.xlsx</t>
  </si>
  <si>
    <t>\\Database\@SAMPLED.TXT</t>
  </si>
  <si>
    <t>\\Database\allfreqs.txt</t>
  </si>
  <si>
    <t>\\Database\@freq.txt</t>
  </si>
  <si>
    <t>\\Database\PointShapes241.in</t>
  </si>
  <si>
    <t>\\Database\ShapeRoutes241.in</t>
  </si>
  <si>
    <t>\\Database\PointShapes21.in</t>
  </si>
  <si>
    <t>\\Database\ShapeRoutes21.in</t>
  </si>
  <si>
    <t>\\Database\InsertStoprepot23.txt</t>
  </si>
  <si>
    <t>\\Database\PointShapes23.in</t>
  </si>
  <si>
    <t>\\Database\ShapeRoutes23.in</t>
  </si>
  <si>
    <t>\\Database\Joiningrepot24.txt</t>
  </si>
  <si>
    <t>\\Database\PointShapes24.in</t>
  </si>
  <si>
    <t>\\Database\ShapeRoutes24.in</t>
  </si>
  <si>
    <t>\\Database\Cosmetic24.in</t>
  </si>
  <si>
    <t>\\Database\RouteStops23.xlsx</t>
  </si>
  <si>
    <t>\\Database\Joiningrepot22.txt</t>
  </si>
  <si>
    <t>\\Database\PointShapes22.in</t>
  </si>
  <si>
    <t>\\Database\ShapeRoutes22.in</t>
  </si>
  <si>
    <t>\\Database\Cosmetic22.in</t>
  </si>
  <si>
    <t>\\Database\Joiningrepot9.txt</t>
  </si>
  <si>
    <t>\\Database\PointShapes9.in</t>
  </si>
  <si>
    <t>\\Database\ShapeRoutes9.in</t>
  </si>
  <si>
    <t>\\Database\Cosmetic9.in</t>
  </si>
  <si>
    <t>\\Database\Uturns4.txt</t>
  </si>
  <si>
    <t>\\Database\PointShapes2.in</t>
  </si>
  <si>
    <t>\\Database\ShapeRoutes2.in</t>
  </si>
  <si>
    <t>\\Database\Cosmetic2.in</t>
  </si>
  <si>
    <t>\\Database\PointShapes12.in</t>
  </si>
  <si>
    <t>\\Database\ShapeRoutes12.in</t>
  </si>
  <si>
    <t>\\Database\PointShapes3.in</t>
  </si>
  <si>
    <t>\\Database\ShapeRoutes3.in</t>
  </si>
  <si>
    <t>\\Database\Cosmetic3.in</t>
  </si>
  <si>
    <t>\\Database\ShapeRoutes1.in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</si>
</sst>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(* #,##0.00_);_(* \(#,##0.00\);_(* &quot;-&quot;??_);_(@_)"/>
    <numFmt numFmtId="165" formatCode="0.000"/>
    <numFmt numFmtId="166" formatCode="0.0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0"/>
      <color rgb="FF00B050"/>
      <name val="Arial"/>
      <family val="2"/>
    </font>
    <font>
      <sz val="10"/>
      <color rgb="FFFFFF00"/>
      <name val="Arial"/>
      <family val="2"/>
    </font>
    <font>
      <sz val="10"/>
      <color rgb="FF0070C0"/>
      <name val="Arial"/>
      <family val="2"/>
    </font>
    <font>
      <sz val="10"/>
      <color rgb="FFFF0000"/>
      <name val="Arial"/>
      <family val="2"/>
    </font>
    <font>
      <sz val="10"/>
      <color rgb="FF7030A0"/>
      <name val="Arial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</borders>
  <cellStyleXfs count="78">
    <xf numFmtId="0" fontId="0" fillId="0" borderId="0"/>
    <xf numFmtId="0" fontId="17" fillId="2" borderId="0" applyNumberFormat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5" borderId="0" applyNumberFormat="0" applyBorder="0" applyAlignment="0" applyProtection="0"/>
    <xf numFmtId="0" fontId="17" fillId="8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9" borderId="0" applyNumberFormat="0" applyBorder="0" applyAlignment="0" applyProtection="0"/>
    <xf numFmtId="0" fontId="19" fillId="3" borderId="0" applyNumberFormat="0" applyBorder="0" applyAlignment="0" applyProtection="0"/>
    <xf numFmtId="0" fontId="20" fillId="20" borderId="1" applyNumberFormat="0" applyAlignment="0" applyProtection="0"/>
    <xf numFmtId="0" fontId="21" fillId="21" borderId="2" applyNumberFormat="0" applyAlignment="0" applyProtection="0"/>
    <xf numFmtId="0" fontId="22" fillId="0" borderId="0" applyNumberFormat="0" applyFill="0" applyBorder="0" applyAlignment="0" applyProtection="0"/>
    <xf numFmtId="0" fontId="23" fillId="4" borderId="0" applyNumberFormat="0" applyBorder="0" applyAlignment="0" applyProtection="0"/>
    <xf numFmtId="0" fontId="24" fillId="0" borderId="3" applyNumberFormat="0" applyFill="0" applyAlignment="0" applyProtection="0"/>
    <xf numFmtId="0" fontId="25" fillId="0" borderId="4" applyNumberFormat="0" applyFill="0" applyAlignment="0" applyProtection="0"/>
    <xf numFmtId="0" fontId="26" fillId="0" borderId="5" applyNumberFormat="0" applyFill="0" applyAlignment="0" applyProtection="0"/>
    <xf numFmtId="0" fontId="26" fillId="0" borderId="0" applyNumberFormat="0" applyFill="0" applyBorder="0" applyAlignment="0" applyProtection="0"/>
    <xf numFmtId="0" fontId="27" fillId="7" borderId="1" applyNumberFormat="0" applyAlignment="0" applyProtection="0"/>
    <xf numFmtId="0" fontId="28" fillId="0" borderId="6" applyNumberFormat="0" applyFill="0" applyAlignment="0" applyProtection="0"/>
    <xf numFmtId="0" fontId="29" fillId="22" borderId="0" applyNumberFormat="0" applyBorder="0" applyAlignment="0" applyProtection="0"/>
    <xf numFmtId="0" fontId="17" fillId="23" borderId="7" applyNumberFormat="0" applyFont="0" applyAlignment="0" applyProtection="0"/>
    <xf numFmtId="0" fontId="30" fillId="20" borderId="8" applyNumberFormat="0" applyAlignment="0" applyProtection="0"/>
    <xf numFmtId="0" fontId="31" fillId="0" borderId="0" applyNumberFormat="0" applyFill="0" applyBorder="0" applyAlignment="0" applyProtection="0"/>
    <xf numFmtId="0" fontId="32" fillId="0" borderId="9" applyNumberFormat="0" applyFill="0" applyAlignment="0" applyProtection="0"/>
    <xf numFmtId="0" fontId="33" fillId="0" borderId="0" applyNumberFormat="0" applyFill="0" applyBorder="0" applyAlignment="0" applyProtection="0"/>
    <xf numFmtId="0" fontId="15" fillId="0" borderId="0"/>
    <xf numFmtId="0" fontId="14" fillId="0" borderId="0"/>
    <xf numFmtId="9" fontId="14" fillId="0" borderId="0" applyFont="0" applyFill="0" applyBorder="0" applyAlignment="0" applyProtection="0"/>
    <xf numFmtId="0" fontId="34" fillId="0" borderId="0"/>
    <xf numFmtId="164" fontId="34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16" fillId="0" borderId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3" fontId="40" fillId="0" borderId="0"/>
    <xf numFmtId="0" fontId="4" fillId="0" borderId="0"/>
    <xf numFmtId="0" fontId="4" fillId="0" borderId="0"/>
    <xf numFmtId="0" fontId="4" fillId="0" borderId="0"/>
    <xf numFmtId="0" fontId="16" fillId="0" borderId="0"/>
    <xf numFmtId="164" fontId="16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</cellStyleXfs>
  <cellXfs count="35">
    <xf numFmtId="0" fontId="0" fillId="0" borderId="0" xfId="0"/>
    <xf numFmtId="0" fontId="16" fillId="0" borderId="0" xfId="0" applyFont="1"/>
    <xf numFmtId="2" fontId="0" fillId="0" borderId="0" xfId="0" applyNumberFormat="1"/>
    <xf numFmtId="0" fontId="0" fillId="0" borderId="0" xfId="0"/>
    <xf numFmtId="0" fontId="35" fillId="0" borderId="0" xfId="0" applyFont="1"/>
    <xf numFmtId="0" fontId="35" fillId="0" borderId="0" xfId="0" quotePrefix="1" applyFont="1"/>
    <xf numFmtId="0" fontId="36" fillId="0" borderId="0" xfId="0" applyFont="1"/>
    <xf numFmtId="0" fontId="36" fillId="0" borderId="0" xfId="0" quotePrefix="1" applyFont="1"/>
    <xf numFmtId="0" fontId="37" fillId="0" borderId="0" xfId="0" applyFont="1"/>
    <xf numFmtId="0" fontId="37" fillId="0" borderId="0" xfId="0" quotePrefix="1" applyFont="1"/>
    <xf numFmtId="0" fontId="38" fillId="0" borderId="0" xfId="0" applyFont="1"/>
    <xf numFmtId="0" fontId="38" fillId="0" borderId="0" xfId="0" quotePrefix="1" applyFont="1"/>
    <xf numFmtId="0" fontId="39" fillId="0" borderId="0" xfId="0" applyFont="1"/>
    <xf numFmtId="0" fontId="39" fillId="0" borderId="0" xfId="0" quotePrefix="1" applyFont="1"/>
    <xf numFmtId="0" fontId="0" fillId="24" borderId="0" xfId="0" applyFill="1"/>
    <xf numFmtId="0" fontId="0" fillId="25" borderId="0" xfId="0" applyFill="1"/>
    <xf numFmtId="0" fontId="0" fillId="0" borderId="0" xfId="0" applyFont="1"/>
    <xf numFmtId="0" fontId="38" fillId="0" borderId="0" xfId="0" applyFont="1" applyAlignment="1">
      <alignment wrapText="1"/>
    </xf>
    <xf numFmtId="165" fontId="16" fillId="0" borderId="0" xfId="0" applyNumberFormat="1" applyFont="1"/>
    <xf numFmtId="0" fontId="0" fillId="0" borderId="0" xfId="0" applyAlignment="1">
      <alignment wrapText="1"/>
    </xf>
    <xf numFmtId="0" fontId="16" fillId="0" borderId="0" xfId="0" applyFont="1" applyAlignment="1"/>
    <xf numFmtId="0" fontId="16" fillId="0" borderId="0" xfId="0" quotePrefix="1" applyFont="1"/>
    <xf numFmtId="166" fontId="0" fillId="0" borderId="0" xfId="0" applyNumberFormat="1"/>
    <xf numFmtId="14" fontId="0" fillId="0" borderId="0" xfId="0" applyNumberFormat="1"/>
    <xf numFmtId="22" fontId="0" fillId="0" borderId="0" xfId="0" applyNumberFormat="1"/>
    <xf numFmtId="16" fontId="16" fillId="0" borderId="0" xfId="0" quotePrefix="1" applyNumberFormat="1" applyFont="1" applyAlignment="1">
      <alignment horizontal="right"/>
    </xf>
    <xf numFmtId="0" fontId="16" fillId="0" borderId="0" xfId="0" quotePrefix="1" applyFont="1" applyAlignment="1">
      <alignment horizontal="right"/>
    </xf>
    <xf numFmtId="0" fontId="16" fillId="0" borderId="0" xfId="55"/>
    <xf numFmtId="0" fontId="1" fillId="0" borderId="0" xfId="77" applyProtection="1">
      <protection locked="0"/>
    </xf>
    <xf numFmtId="0" fontId="1" fillId="0" borderId="0" xfId="77" applyAlignment="1" applyProtection="1">
      <alignment horizontal="left" vertical="top" wrapText="1"/>
      <protection locked="0"/>
    </xf>
    <xf numFmtId="0" fontId="1" fillId="0" borderId="0" xfId="77" applyProtection="1"/>
    <xf numFmtId="0" fontId="1" fillId="0" borderId="0" xfId="77" applyAlignment="1" applyProtection="1">
      <alignment vertical="center" wrapText="1"/>
      <protection locked="0"/>
    </xf>
    <xf numFmtId="0" fontId="41" fillId="0" borderId="10" xfId="77" applyFont="1" applyBorder="1" applyAlignment="1" applyProtection="1">
      <alignment horizontal="center" vertical="center" wrapText="1"/>
    </xf>
    <xf numFmtId="0" fontId="1" fillId="0" borderId="10" xfId="77" applyFill="1" applyBorder="1" applyAlignment="1" applyProtection="1">
      <alignment horizontal="left" vertical="center" wrapText="1"/>
      <protection locked="0"/>
    </xf>
    <xf numFmtId="0" fontId="1" fillId="0" borderId="0" xfId="77" applyAlignment="1" applyProtection="1">
      <alignment horizontal="center" vertical="center"/>
      <protection locked="0"/>
    </xf>
  </cellXfs>
  <cellStyles count="78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 2" xfId="46"/>
    <cellStyle name="Comma 2 2" xfId="66"/>
    <cellStyle name="Comma 3" xfId="48"/>
    <cellStyle name="Comma 3 2" xfId="67"/>
    <cellStyle name="Comma 4" xfId="57"/>
    <cellStyle name="Comma0" xfId="6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10" xfId="55"/>
    <cellStyle name="Normal 108" xfId="62"/>
    <cellStyle name="Normal 109" xfId="63"/>
    <cellStyle name="Normal 11" xfId="76"/>
    <cellStyle name="Normal 111" xfId="64"/>
    <cellStyle name="Normal 12" xfId="77"/>
    <cellStyle name="Normal 2" xfId="42"/>
    <cellStyle name="Normal 2 2" xfId="45"/>
    <cellStyle name="Normal 2 2 2" xfId="65"/>
    <cellStyle name="Normal 3" xfId="43"/>
    <cellStyle name="Normal 3 2" xfId="49"/>
    <cellStyle name="Normal 3 2 2" xfId="75"/>
    <cellStyle name="Normal 3 3" xfId="73"/>
    <cellStyle name="Normal 3 4" xfId="59"/>
    <cellStyle name="Normal 4" xfId="47"/>
    <cellStyle name="Normal 5" xfId="50"/>
    <cellStyle name="Normal 5 2" xfId="60"/>
    <cellStyle name="Normal 5 3" xfId="71"/>
    <cellStyle name="Normal 6" xfId="51"/>
    <cellStyle name="Normal 6 2" xfId="72"/>
    <cellStyle name="Normal 7" xfId="52"/>
    <cellStyle name="Normal 7 2" xfId="58"/>
    <cellStyle name="Normal 7 2 2" xfId="70"/>
    <cellStyle name="Normal 8" xfId="53"/>
    <cellStyle name="Normal 8 2" xfId="69"/>
    <cellStyle name="Normal 9" xfId="54"/>
    <cellStyle name="Normal 9 2" xfId="68"/>
    <cellStyle name="Note" xfId="37" builtinId="10" customBuiltin="1"/>
    <cellStyle name="Output" xfId="38" builtinId="21" customBuiltin="1"/>
    <cellStyle name="Percent 2" xfId="44"/>
    <cellStyle name="Percent 2 2" xfId="74"/>
    <cellStyle name="Percent 3" xfId="56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pt-BR" sz="1000"/>
              <a:t>Função</a:t>
            </a:r>
            <a:r>
              <a:rPr lang="pt-BR" sz="1000" baseline="0"/>
              <a:t> de atraso</a:t>
            </a:r>
            <a:endParaRPr lang="pt-BR" sz="1000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BPRPlot!$D$7</c:f>
              <c:strCache>
                <c:ptCount val="1"/>
                <c:pt idx="0">
                  <c:v>=1+2((V/C)-1)^1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BPRPlot!$C$9:$C$32</c:f>
              <c:numCache>
                <c:formatCode>General</c:formatCode>
                <c:ptCount val="2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1.75</c:v>
                </c:pt>
                <c:pt idx="17">
                  <c:v>2</c:v>
                </c:pt>
                <c:pt idx="18">
                  <c:v>2.5</c:v>
                </c:pt>
                <c:pt idx="19">
                  <c:v>3</c:v>
                </c:pt>
                <c:pt idx="20">
                  <c:v>3.5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</c:numCache>
            </c:numRef>
          </c:xVal>
          <c:yVal>
            <c:numRef>
              <c:f>BPRPlot!$D$9:$D$32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0.20000000000000018</c:v>
                </c:pt>
                <c:pt idx="11">
                  <c:v>0.39999999999999991</c:v>
                </c:pt>
                <c:pt idx="12">
                  <c:v>0.5</c:v>
                </c:pt>
                <c:pt idx="13">
                  <c:v>0.60000000000000009</c:v>
                </c:pt>
                <c:pt idx="14">
                  <c:v>0.79999999999999982</c:v>
                </c:pt>
                <c:pt idx="15">
                  <c:v>1</c:v>
                </c:pt>
                <c:pt idx="16">
                  <c:v>1.5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8</c:v>
                </c:pt>
                <c:pt idx="23">
                  <c:v>10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BPRPlot!$E$7</c:f>
              <c:strCache>
                <c:ptCount val="1"/>
                <c:pt idx="0">
                  <c:v>=0+1((V/C)-0)^1,82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BPRPlot!$C$9:$C$32</c:f>
              <c:numCache>
                <c:formatCode>General</c:formatCode>
                <c:ptCount val="2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1.75</c:v>
                </c:pt>
                <c:pt idx="17">
                  <c:v>2</c:v>
                </c:pt>
                <c:pt idx="18">
                  <c:v>2.5</c:v>
                </c:pt>
                <c:pt idx="19">
                  <c:v>3</c:v>
                </c:pt>
                <c:pt idx="20">
                  <c:v>3.5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</c:numCache>
            </c:numRef>
          </c:xVal>
          <c:yVal>
            <c:numRef>
              <c:f>BPRPlot!$E$9:$E$32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0.18941849406909217</c:v>
                </c:pt>
                <c:pt idx="11">
                  <c:v>0.39350928830087595</c:v>
                </c:pt>
                <c:pt idx="12">
                  <c:v>0.50098455590100022</c:v>
                </c:pt>
                <c:pt idx="13">
                  <c:v>0.61204403600266066</c:v>
                </c:pt>
                <c:pt idx="14">
                  <c:v>0.84481586556581689</c:v>
                </c:pt>
                <c:pt idx="15">
                  <c:v>1.0916359202442094</c:v>
                </c:pt>
                <c:pt idx="16">
                  <c:v>1.7690401226954267</c:v>
                </c:pt>
                <c:pt idx="17">
                  <c:v>2.5308119851626194</c:v>
                </c:pt>
                <c:pt idx="18">
                  <c:v>4.299694259519244</c:v>
                </c:pt>
                <c:pt idx="19">
                  <c:v>6.3851731757949004</c:v>
                </c:pt>
                <c:pt idx="20">
                  <c:v>8.7769600526091871</c:v>
                </c:pt>
                <c:pt idx="21">
                  <c:v>11.466633274567998</c:v>
                </c:pt>
                <c:pt idx="22">
                  <c:v>17.712224009208079</c:v>
                </c:pt>
                <c:pt idx="23">
                  <c:v>25.075657961598115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BPRPlot!$F$7</c:f>
              <c:strCache>
                <c:ptCount val="1"/>
                <c:pt idx="0">
                  <c:v>=1+0,15((V/C)-0)^4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BPRPlot!$C$9:$C$32</c:f>
              <c:numCache>
                <c:formatCode>General</c:formatCode>
                <c:ptCount val="2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1.75</c:v>
                </c:pt>
                <c:pt idx="17">
                  <c:v>2</c:v>
                </c:pt>
                <c:pt idx="18">
                  <c:v>2.5</c:v>
                </c:pt>
                <c:pt idx="19">
                  <c:v>3</c:v>
                </c:pt>
                <c:pt idx="20">
                  <c:v>3.5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</c:numCache>
            </c:numRef>
          </c:xVal>
          <c:yVal>
            <c:numRef>
              <c:f>BPRPlot!$F$9:$F$32</c:f>
              <c:numCache>
                <c:formatCode>0.00</c:formatCode>
                <c:ptCount val="24"/>
                <c:pt idx="0">
                  <c:v>1.5000000000000005E-5</c:v>
                </c:pt>
                <c:pt idx="1">
                  <c:v>2.4000000000000009E-4</c:v>
                </c:pt>
                <c:pt idx="2">
                  <c:v>1.2149999999999999E-3</c:v>
                </c:pt>
                <c:pt idx="3">
                  <c:v>3.8400000000000014E-3</c:v>
                </c:pt>
                <c:pt idx="4">
                  <c:v>9.3749999999999997E-3</c:v>
                </c:pt>
                <c:pt idx="5">
                  <c:v>1.9439999999999999E-2</c:v>
                </c:pt>
                <c:pt idx="6">
                  <c:v>3.6014999999999985E-2</c:v>
                </c:pt>
                <c:pt idx="7">
                  <c:v>6.1440000000000022E-2</c:v>
                </c:pt>
                <c:pt idx="8">
                  <c:v>9.8415000000000016E-2</c:v>
                </c:pt>
                <c:pt idx="9">
                  <c:v>0.15</c:v>
                </c:pt>
                <c:pt idx="10">
                  <c:v>0.21961500000000006</c:v>
                </c:pt>
                <c:pt idx="11">
                  <c:v>0.31103999999999998</c:v>
                </c:pt>
                <c:pt idx="12">
                  <c:v>0.3662109375</c:v>
                </c:pt>
                <c:pt idx="13">
                  <c:v>0.42841500000000005</c:v>
                </c:pt>
                <c:pt idx="14">
                  <c:v>0.57623999999999975</c:v>
                </c:pt>
                <c:pt idx="15">
                  <c:v>0.75937500000000002</c:v>
                </c:pt>
                <c:pt idx="16">
                  <c:v>1.4068359374999999</c:v>
                </c:pt>
                <c:pt idx="17">
                  <c:v>2.4</c:v>
                </c:pt>
                <c:pt idx="18">
                  <c:v>5.859375</c:v>
                </c:pt>
                <c:pt idx="19">
                  <c:v>12.15</c:v>
                </c:pt>
                <c:pt idx="20">
                  <c:v>22.509374999999999</c:v>
                </c:pt>
                <c:pt idx="21">
                  <c:v>38.4</c:v>
                </c:pt>
                <c:pt idx="22">
                  <c:v>93.75</c:v>
                </c:pt>
                <c:pt idx="23">
                  <c:v>194.4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BPRPlot!$G$7</c:f>
              <c:strCache>
                <c:ptCount val="1"/>
                <c:pt idx="0">
                  <c:v>=1+0,1((V/C)-0)^5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BPRPlot!$C$9:$C$32</c:f>
              <c:numCache>
                <c:formatCode>General</c:formatCode>
                <c:ptCount val="2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1.75</c:v>
                </c:pt>
                <c:pt idx="17">
                  <c:v>2</c:v>
                </c:pt>
                <c:pt idx="18">
                  <c:v>2.5</c:v>
                </c:pt>
                <c:pt idx="19">
                  <c:v>3</c:v>
                </c:pt>
                <c:pt idx="20">
                  <c:v>3.5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</c:numCache>
            </c:numRef>
          </c:xVal>
          <c:yVal>
            <c:numRef>
              <c:f>BPRPlot!$G$9:$G$32</c:f>
              <c:numCache>
                <c:formatCode>0.00</c:formatCode>
                <c:ptCount val="24"/>
                <c:pt idx="0">
                  <c:v>1.0000000000000006E-6</c:v>
                </c:pt>
                <c:pt idx="1">
                  <c:v>3.2000000000000019E-5</c:v>
                </c:pt>
                <c:pt idx="2">
                  <c:v>2.43E-4</c:v>
                </c:pt>
                <c:pt idx="3">
                  <c:v>1.0240000000000006E-3</c:v>
                </c:pt>
                <c:pt idx="4">
                  <c:v>3.1250000000000002E-3</c:v>
                </c:pt>
                <c:pt idx="5">
                  <c:v>7.7759999999999999E-3</c:v>
                </c:pt>
                <c:pt idx="6">
                  <c:v>1.6806999999999996E-2</c:v>
                </c:pt>
                <c:pt idx="7">
                  <c:v>3.2768000000000019E-2</c:v>
                </c:pt>
                <c:pt idx="8">
                  <c:v>5.9049000000000018E-2</c:v>
                </c:pt>
                <c:pt idx="9">
                  <c:v>0.1</c:v>
                </c:pt>
                <c:pt idx="10">
                  <c:v>0.16105100000000006</c:v>
                </c:pt>
                <c:pt idx="11">
                  <c:v>0.248832</c:v>
                </c:pt>
                <c:pt idx="12">
                  <c:v>0.30517578125</c:v>
                </c:pt>
                <c:pt idx="13">
                  <c:v>0.3712930000000001</c:v>
                </c:pt>
                <c:pt idx="14">
                  <c:v>0.53782399999999986</c:v>
                </c:pt>
                <c:pt idx="15">
                  <c:v>0.75937500000000002</c:v>
                </c:pt>
                <c:pt idx="16">
                  <c:v>1.64130859375</c:v>
                </c:pt>
                <c:pt idx="17">
                  <c:v>3.2</c:v>
                </c:pt>
                <c:pt idx="18">
                  <c:v>9.765625</c:v>
                </c:pt>
                <c:pt idx="19">
                  <c:v>24.3</c:v>
                </c:pt>
                <c:pt idx="20">
                  <c:v>52.521875000000001</c:v>
                </c:pt>
                <c:pt idx="21">
                  <c:v>102.4</c:v>
                </c:pt>
                <c:pt idx="22">
                  <c:v>312.5</c:v>
                </c:pt>
                <c:pt idx="23">
                  <c:v>777.6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BPRPlot!$H$7</c:f>
              <c:strCache>
                <c:ptCount val="1"/>
                <c:pt idx="0">
                  <c:v>=1+0,3((V/C)-0,5)^5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BPRPlot!$C$9:$C$32</c:f>
              <c:numCache>
                <c:formatCode>General</c:formatCode>
                <c:ptCount val="2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1.75</c:v>
                </c:pt>
                <c:pt idx="17">
                  <c:v>2</c:v>
                </c:pt>
                <c:pt idx="18">
                  <c:v>2.5</c:v>
                </c:pt>
                <c:pt idx="19">
                  <c:v>3</c:v>
                </c:pt>
                <c:pt idx="20">
                  <c:v>3.5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</c:numCache>
            </c:numRef>
          </c:xVal>
          <c:yVal>
            <c:numRef>
              <c:f>BPRPlot!$H$9:$H$32</c:f>
              <c:numCache>
                <c:formatCode>0.00</c:formatCode>
                <c:ptCount val="24"/>
                <c:pt idx="0">
                  <c:v>-3.0720000000000018E-3</c:v>
                </c:pt>
                <c:pt idx="1">
                  <c:v>-7.2899999999999994E-4</c:v>
                </c:pt>
                <c:pt idx="2">
                  <c:v>-9.6000000000000057E-5</c:v>
                </c:pt>
                <c:pt idx="3">
                  <c:v>-2.9999999999999963E-6</c:v>
                </c:pt>
                <c:pt idx="4">
                  <c:v>0</c:v>
                </c:pt>
                <c:pt idx="5">
                  <c:v>2.9999999999999963E-6</c:v>
                </c:pt>
                <c:pt idx="6">
                  <c:v>9.599999999999988E-5</c:v>
                </c:pt>
                <c:pt idx="7">
                  <c:v>7.2900000000000048E-4</c:v>
                </c:pt>
                <c:pt idx="8">
                  <c:v>3.0720000000000018E-3</c:v>
                </c:pt>
                <c:pt idx="9">
                  <c:v>9.3749999999999997E-3</c:v>
                </c:pt>
                <c:pt idx="10">
                  <c:v>2.3328000000000015E-2</c:v>
                </c:pt>
                <c:pt idx="11">
                  <c:v>5.042099999999998E-2</c:v>
                </c:pt>
                <c:pt idx="12">
                  <c:v>7.1191406249999992E-2</c:v>
                </c:pt>
                <c:pt idx="13">
                  <c:v>9.8304000000000058E-2</c:v>
                </c:pt>
                <c:pt idx="14">
                  <c:v>0.17714699999999989</c:v>
                </c:pt>
                <c:pt idx="15">
                  <c:v>0.3</c:v>
                </c:pt>
                <c:pt idx="16">
                  <c:v>0.91552734375</c:v>
                </c:pt>
                <c:pt idx="17">
                  <c:v>2.2781249999999997</c:v>
                </c:pt>
                <c:pt idx="18">
                  <c:v>9.6</c:v>
                </c:pt>
                <c:pt idx="19">
                  <c:v>29.296875</c:v>
                </c:pt>
                <c:pt idx="20">
                  <c:v>72.899999999999991</c:v>
                </c:pt>
                <c:pt idx="21">
                  <c:v>157.56562499999998</c:v>
                </c:pt>
                <c:pt idx="22">
                  <c:v>553.58437500000002</c:v>
                </c:pt>
                <c:pt idx="23">
                  <c:v>1509.8531249999999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473840"/>
        <c:axId val="600475408"/>
      </c:scatterChart>
      <c:valAx>
        <c:axId val="600473840"/>
        <c:scaling>
          <c:orientation val="minMax"/>
          <c:max val="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Volume/Capacidade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600475408"/>
        <c:crosses val="autoZero"/>
        <c:crossBetween val="midCat"/>
      </c:valAx>
      <c:valAx>
        <c:axId val="600475408"/>
        <c:scaling>
          <c:orientation val="minMax"/>
          <c:max val="1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800"/>
                </a:pPr>
                <a:r>
                  <a:rPr lang="pt-BR" sz="800"/>
                  <a:t>Atraso relativo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0047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Função</a:t>
            </a:r>
            <a:r>
              <a:rPr lang="pt-BR" baseline="0"/>
              <a:t> de atraso</a:t>
            </a:r>
            <a:endParaRPr lang="pt-BR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BPRPlot!$D$7</c:f>
              <c:strCache>
                <c:ptCount val="1"/>
                <c:pt idx="0">
                  <c:v>=1+2((V/C)-1)^1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BPRPlot!$C$9:$C$32</c:f>
              <c:numCache>
                <c:formatCode>General</c:formatCode>
                <c:ptCount val="2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1.75</c:v>
                </c:pt>
                <c:pt idx="17">
                  <c:v>2</c:v>
                </c:pt>
                <c:pt idx="18">
                  <c:v>2.5</c:v>
                </c:pt>
                <c:pt idx="19">
                  <c:v>3</c:v>
                </c:pt>
                <c:pt idx="20">
                  <c:v>3.5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</c:numCache>
            </c:numRef>
          </c:xVal>
          <c:yVal>
            <c:numRef>
              <c:f>BPRPlot!$D$9:$D$32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0.20000000000000018</c:v>
                </c:pt>
                <c:pt idx="11">
                  <c:v>0.39999999999999991</c:v>
                </c:pt>
                <c:pt idx="12">
                  <c:v>0.5</c:v>
                </c:pt>
                <c:pt idx="13">
                  <c:v>0.60000000000000009</c:v>
                </c:pt>
                <c:pt idx="14">
                  <c:v>0.79999999999999982</c:v>
                </c:pt>
                <c:pt idx="15">
                  <c:v>1</c:v>
                </c:pt>
                <c:pt idx="16">
                  <c:v>1.5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8</c:v>
                </c:pt>
                <c:pt idx="23">
                  <c:v>10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BPRPlot!$E$7</c:f>
              <c:strCache>
                <c:ptCount val="1"/>
                <c:pt idx="0">
                  <c:v>=0+1((V/C)-0)^1,82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BPRPlot!$C$9:$C$32</c:f>
              <c:numCache>
                <c:formatCode>General</c:formatCode>
                <c:ptCount val="2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1.75</c:v>
                </c:pt>
                <c:pt idx="17">
                  <c:v>2</c:v>
                </c:pt>
                <c:pt idx="18">
                  <c:v>2.5</c:v>
                </c:pt>
                <c:pt idx="19">
                  <c:v>3</c:v>
                </c:pt>
                <c:pt idx="20">
                  <c:v>3.5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</c:numCache>
            </c:numRef>
          </c:xVal>
          <c:yVal>
            <c:numRef>
              <c:f>BPRPlot!$E$9:$E$32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0.18941849406909217</c:v>
                </c:pt>
                <c:pt idx="11">
                  <c:v>0.39350928830087595</c:v>
                </c:pt>
                <c:pt idx="12">
                  <c:v>0.50098455590100022</c:v>
                </c:pt>
                <c:pt idx="13">
                  <c:v>0.61204403600266066</c:v>
                </c:pt>
                <c:pt idx="14">
                  <c:v>0.84481586556581689</c:v>
                </c:pt>
                <c:pt idx="15">
                  <c:v>1.0916359202442094</c:v>
                </c:pt>
                <c:pt idx="16">
                  <c:v>1.7690401226954267</c:v>
                </c:pt>
                <c:pt idx="17">
                  <c:v>2.5308119851626194</c:v>
                </c:pt>
                <c:pt idx="18">
                  <c:v>4.299694259519244</c:v>
                </c:pt>
                <c:pt idx="19">
                  <c:v>6.3851731757949004</c:v>
                </c:pt>
                <c:pt idx="20">
                  <c:v>8.7769600526091871</c:v>
                </c:pt>
                <c:pt idx="21">
                  <c:v>11.466633274567998</c:v>
                </c:pt>
                <c:pt idx="22">
                  <c:v>17.712224009208079</c:v>
                </c:pt>
                <c:pt idx="23">
                  <c:v>25.075657961598115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BPRPlot!$F$7</c:f>
              <c:strCache>
                <c:ptCount val="1"/>
                <c:pt idx="0">
                  <c:v>=1+0,15((V/C)-0)^4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BPRPlot!$C$9:$C$32</c:f>
              <c:numCache>
                <c:formatCode>General</c:formatCode>
                <c:ptCount val="2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1.75</c:v>
                </c:pt>
                <c:pt idx="17">
                  <c:v>2</c:v>
                </c:pt>
                <c:pt idx="18">
                  <c:v>2.5</c:v>
                </c:pt>
                <c:pt idx="19">
                  <c:v>3</c:v>
                </c:pt>
                <c:pt idx="20">
                  <c:v>3.5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</c:numCache>
            </c:numRef>
          </c:xVal>
          <c:yVal>
            <c:numRef>
              <c:f>BPRPlot!$F$9:$F$32</c:f>
              <c:numCache>
                <c:formatCode>0.00</c:formatCode>
                <c:ptCount val="24"/>
                <c:pt idx="0">
                  <c:v>1.5000000000000005E-5</c:v>
                </c:pt>
                <c:pt idx="1">
                  <c:v>2.4000000000000009E-4</c:v>
                </c:pt>
                <c:pt idx="2">
                  <c:v>1.2149999999999999E-3</c:v>
                </c:pt>
                <c:pt idx="3">
                  <c:v>3.8400000000000014E-3</c:v>
                </c:pt>
                <c:pt idx="4">
                  <c:v>9.3749999999999997E-3</c:v>
                </c:pt>
                <c:pt idx="5">
                  <c:v>1.9439999999999999E-2</c:v>
                </c:pt>
                <c:pt idx="6">
                  <c:v>3.6014999999999985E-2</c:v>
                </c:pt>
                <c:pt idx="7">
                  <c:v>6.1440000000000022E-2</c:v>
                </c:pt>
                <c:pt idx="8">
                  <c:v>9.8415000000000016E-2</c:v>
                </c:pt>
                <c:pt idx="9">
                  <c:v>0.15</c:v>
                </c:pt>
                <c:pt idx="10">
                  <c:v>0.21961500000000006</c:v>
                </c:pt>
                <c:pt idx="11">
                  <c:v>0.31103999999999998</c:v>
                </c:pt>
                <c:pt idx="12">
                  <c:v>0.3662109375</c:v>
                </c:pt>
                <c:pt idx="13">
                  <c:v>0.42841500000000005</c:v>
                </c:pt>
                <c:pt idx="14">
                  <c:v>0.57623999999999975</c:v>
                </c:pt>
                <c:pt idx="15">
                  <c:v>0.75937500000000002</c:v>
                </c:pt>
                <c:pt idx="16">
                  <c:v>1.4068359374999999</c:v>
                </c:pt>
                <c:pt idx="17">
                  <c:v>2.4</c:v>
                </c:pt>
                <c:pt idx="18">
                  <c:v>5.859375</c:v>
                </c:pt>
                <c:pt idx="19">
                  <c:v>12.15</c:v>
                </c:pt>
                <c:pt idx="20">
                  <c:v>22.509374999999999</c:v>
                </c:pt>
                <c:pt idx="21">
                  <c:v>38.4</c:v>
                </c:pt>
                <c:pt idx="22">
                  <c:v>93.75</c:v>
                </c:pt>
                <c:pt idx="23">
                  <c:v>194.4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BPRPlot!$G$7</c:f>
              <c:strCache>
                <c:ptCount val="1"/>
                <c:pt idx="0">
                  <c:v>=1+0,1((V/C)-0)^5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BPRPlot!$C$9:$C$32</c:f>
              <c:numCache>
                <c:formatCode>General</c:formatCode>
                <c:ptCount val="2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1.75</c:v>
                </c:pt>
                <c:pt idx="17">
                  <c:v>2</c:v>
                </c:pt>
                <c:pt idx="18">
                  <c:v>2.5</c:v>
                </c:pt>
                <c:pt idx="19">
                  <c:v>3</c:v>
                </c:pt>
                <c:pt idx="20">
                  <c:v>3.5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</c:numCache>
            </c:numRef>
          </c:xVal>
          <c:yVal>
            <c:numRef>
              <c:f>BPRPlot!$G$9:$G$32</c:f>
              <c:numCache>
                <c:formatCode>0.00</c:formatCode>
                <c:ptCount val="24"/>
                <c:pt idx="0">
                  <c:v>1.0000000000000006E-6</c:v>
                </c:pt>
                <c:pt idx="1">
                  <c:v>3.2000000000000019E-5</c:v>
                </c:pt>
                <c:pt idx="2">
                  <c:v>2.43E-4</c:v>
                </c:pt>
                <c:pt idx="3">
                  <c:v>1.0240000000000006E-3</c:v>
                </c:pt>
                <c:pt idx="4">
                  <c:v>3.1250000000000002E-3</c:v>
                </c:pt>
                <c:pt idx="5">
                  <c:v>7.7759999999999999E-3</c:v>
                </c:pt>
                <c:pt idx="6">
                  <c:v>1.6806999999999996E-2</c:v>
                </c:pt>
                <c:pt idx="7">
                  <c:v>3.2768000000000019E-2</c:v>
                </c:pt>
                <c:pt idx="8">
                  <c:v>5.9049000000000018E-2</c:v>
                </c:pt>
                <c:pt idx="9">
                  <c:v>0.1</c:v>
                </c:pt>
                <c:pt idx="10">
                  <c:v>0.16105100000000006</c:v>
                </c:pt>
                <c:pt idx="11">
                  <c:v>0.248832</c:v>
                </c:pt>
                <c:pt idx="12">
                  <c:v>0.30517578125</c:v>
                </c:pt>
                <c:pt idx="13">
                  <c:v>0.3712930000000001</c:v>
                </c:pt>
                <c:pt idx="14">
                  <c:v>0.53782399999999986</c:v>
                </c:pt>
                <c:pt idx="15">
                  <c:v>0.75937500000000002</c:v>
                </c:pt>
                <c:pt idx="16">
                  <c:v>1.64130859375</c:v>
                </c:pt>
                <c:pt idx="17">
                  <c:v>3.2</c:v>
                </c:pt>
                <c:pt idx="18">
                  <c:v>9.765625</c:v>
                </c:pt>
                <c:pt idx="19">
                  <c:v>24.3</c:v>
                </c:pt>
                <c:pt idx="20">
                  <c:v>52.521875000000001</c:v>
                </c:pt>
                <c:pt idx="21">
                  <c:v>102.4</c:v>
                </c:pt>
                <c:pt idx="22">
                  <c:v>312.5</c:v>
                </c:pt>
                <c:pt idx="23">
                  <c:v>777.6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BPRPlot!$H$7</c:f>
              <c:strCache>
                <c:ptCount val="1"/>
                <c:pt idx="0">
                  <c:v>=1+0,3((V/C)-0,5)^5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BPRPlot!$C$9:$C$32</c:f>
              <c:numCache>
                <c:formatCode>General</c:formatCode>
                <c:ptCount val="2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1.25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1.75</c:v>
                </c:pt>
                <c:pt idx="17">
                  <c:v>2</c:v>
                </c:pt>
                <c:pt idx="18">
                  <c:v>2.5</c:v>
                </c:pt>
                <c:pt idx="19">
                  <c:v>3</c:v>
                </c:pt>
                <c:pt idx="20">
                  <c:v>3.5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</c:numCache>
            </c:numRef>
          </c:xVal>
          <c:yVal>
            <c:numRef>
              <c:f>BPRPlot!$H$9:$H$32</c:f>
              <c:numCache>
                <c:formatCode>0.00</c:formatCode>
                <c:ptCount val="24"/>
                <c:pt idx="0">
                  <c:v>-3.0720000000000018E-3</c:v>
                </c:pt>
                <c:pt idx="1">
                  <c:v>-7.2899999999999994E-4</c:v>
                </c:pt>
                <c:pt idx="2">
                  <c:v>-9.6000000000000057E-5</c:v>
                </c:pt>
                <c:pt idx="3">
                  <c:v>-2.9999999999999963E-6</c:v>
                </c:pt>
                <c:pt idx="4">
                  <c:v>0</c:v>
                </c:pt>
                <c:pt idx="5">
                  <c:v>2.9999999999999963E-6</c:v>
                </c:pt>
                <c:pt idx="6">
                  <c:v>9.599999999999988E-5</c:v>
                </c:pt>
                <c:pt idx="7">
                  <c:v>7.2900000000000048E-4</c:v>
                </c:pt>
                <c:pt idx="8">
                  <c:v>3.0720000000000018E-3</c:v>
                </c:pt>
                <c:pt idx="9">
                  <c:v>9.3749999999999997E-3</c:v>
                </c:pt>
                <c:pt idx="10">
                  <c:v>2.3328000000000015E-2</c:v>
                </c:pt>
                <c:pt idx="11">
                  <c:v>5.042099999999998E-2</c:v>
                </c:pt>
                <c:pt idx="12">
                  <c:v>7.1191406249999992E-2</c:v>
                </c:pt>
                <c:pt idx="13">
                  <c:v>9.8304000000000058E-2</c:v>
                </c:pt>
                <c:pt idx="14">
                  <c:v>0.17714699999999989</c:v>
                </c:pt>
                <c:pt idx="15">
                  <c:v>0.3</c:v>
                </c:pt>
                <c:pt idx="16">
                  <c:v>0.91552734375</c:v>
                </c:pt>
                <c:pt idx="17">
                  <c:v>2.2781249999999997</c:v>
                </c:pt>
                <c:pt idx="18">
                  <c:v>9.6</c:v>
                </c:pt>
                <c:pt idx="19">
                  <c:v>29.296875</c:v>
                </c:pt>
                <c:pt idx="20">
                  <c:v>72.899999999999991</c:v>
                </c:pt>
                <c:pt idx="21">
                  <c:v>157.56562499999998</c:v>
                </c:pt>
                <c:pt idx="22">
                  <c:v>553.58437500000002</c:v>
                </c:pt>
                <c:pt idx="23">
                  <c:v>1509.8531249999999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141464"/>
        <c:axId val="883141072"/>
      </c:scatterChart>
      <c:valAx>
        <c:axId val="883141464"/>
        <c:scaling>
          <c:orientation val="minMax"/>
          <c:max val="2"/>
          <c:min val="0.75000000000000144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Volume/Capacidade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883141072"/>
        <c:crosses val="autoZero"/>
        <c:crossBetween val="midCat"/>
        <c:majorUnit val="0.25"/>
        <c:minorUnit val="0.25"/>
      </c:valAx>
      <c:valAx>
        <c:axId val="883141072"/>
        <c:scaling>
          <c:orientation val="minMax"/>
          <c:max val="6"/>
          <c:min val="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pt-BR" sz="1400"/>
                  <a:t>Atraso relativo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883141464"/>
        <c:crosses val="autoZero"/>
        <c:crossBetween val="midCat"/>
        <c:majorUnit val="1"/>
        <c:minorUnit val="0.5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3618774310548718E-2"/>
          <c:y val="6.8421052631578952E-2"/>
          <c:w val="0.81906365094252553"/>
          <c:h val="0.86578947368421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'Boarding time function'!$F$8</c:f>
              <c:strCache>
                <c:ptCount val="1"/>
                <c:pt idx="0">
                  <c:v>tgs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'Boarding time function'!$E$9:$E$210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</c:numCache>
            </c:numRef>
          </c:xVal>
          <c:yVal>
            <c:numRef>
              <c:f>'Boarding time function'!$F$9:$F$210</c:f>
              <c:numCache>
                <c:formatCode>General</c:formatCode>
                <c:ptCount val="202"/>
                <c:pt idx="0">
                  <c:v>-1</c:v>
                </c:pt>
                <c:pt idx="1">
                  <c:v>0</c:v>
                </c:pt>
                <c:pt idx="2">
                  <c:v>0.13</c:v>
                </c:pt>
                <c:pt idx="3">
                  <c:v>0.25</c:v>
                </c:pt>
                <c:pt idx="4">
                  <c:v>0.38</c:v>
                </c:pt>
                <c:pt idx="5">
                  <c:v>0.5</c:v>
                </c:pt>
                <c:pt idx="6">
                  <c:v>0.63</c:v>
                </c:pt>
                <c:pt idx="7">
                  <c:v>0.76</c:v>
                </c:pt>
                <c:pt idx="8">
                  <c:v>0.89</c:v>
                </c:pt>
                <c:pt idx="9">
                  <c:v>1.01</c:v>
                </c:pt>
                <c:pt idx="10">
                  <c:v>1.1399999999999999</c:v>
                </c:pt>
                <c:pt idx="11">
                  <c:v>1.27</c:v>
                </c:pt>
                <c:pt idx="12">
                  <c:v>1.4</c:v>
                </c:pt>
                <c:pt idx="13">
                  <c:v>1.53</c:v>
                </c:pt>
                <c:pt idx="14">
                  <c:v>1.66</c:v>
                </c:pt>
                <c:pt idx="15">
                  <c:v>1.79</c:v>
                </c:pt>
                <c:pt idx="16">
                  <c:v>1.93</c:v>
                </c:pt>
                <c:pt idx="17">
                  <c:v>2.06</c:v>
                </c:pt>
                <c:pt idx="18">
                  <c:v>2.19</c:v>
                </c:pt>
                <c:pt idx="19">
                  <c:v>2.3199999999999998</c:v>
                </c:pt>
                <c:pt idx="20">
                  <c:v>2.46</c:v>
                </c:pt>
                <c:pt idx="21">
                  <c:v>2.59</c:v>
                </c:pt>
                <c:pt idx="22">
                  <c:v>2.73</c:v>
                </c:pt>
                <c:pt idx="23">
                  <c:v>2.86</c:v>
                </c:pt>
                <c:pt idx="24">
                  <c:v>3</c:v>
                </c:pt>
                <c:pt idx="25">
                  <c:v>3.14</c:v>
                </c:pt>
                <c:pt idx="26">
                  <c:v>3.27</c:v>
                </c:pt>
                <c:pt idx="27">
                  <c:v>3.41</c:v>
                </c:pt>
                <c:pt idx="28">
                  <c:v>3.55</c:v>
                </c:pt>
                <c:pt idx="29">
                  <c:v>3.69</c:v>
                </c:pt>
                <c:pt idx="30">
                  <c:v>3.83</c:v>
                </c:pt>
                <c:pt idx="31">
                  <c:v>3.97</c:v>
                </c:pt>
                <c:pt idx="32">
                  <c:v>4.1100000000000003</c:v>
                </c:pt>
                <c:pt idx="33">
                  <c:v>4.25</c:v>
                </c:pt>
                <c:pt idx="34">
                  <c:v>4.3899999999999997</c:v>
                </c:pt>
                <c:pt idx="35">
                  <c:v>4.53</c:v>
                </c:pt>
                <c:pt idx="36">
                  <c:v>4.67</c:v>
                </c:pt>
                <c:pt idx="37">
                  <c:v>4.82</c:v>
                </c:pt>
                <c:pt idx="38">
                  <c:v>4.96</c:v>
                </c:pt>
                <c:pt idx="39">
                  <c:v>5.0999999999999996</c:v>
                </c:pt>
                <c:pt idx="40">
                  <c:v>5.25</c:v>
                </c:pt>
                <c:pt idx="41">
                  <c:v>5.4</c:v>
                </c:pt>
                <c:pt idx="42">
                  <c:v>5.54</c:v>
                </c:pt>
                <c:pt idx="43">
                  <c:v>5.69</c:v>
                </c:pt>
                <c:pt idx="44">
                  <c:v>5.84</c:v>
                </c:pt>
                <c:pt idx="45">
                  <c:v>5.99</c:v>
                </c:pt>
                <c:pt idx="46">
                  <c:v>6.13</c:v>
                </c:pt>
                <c:pt idx="47">
                  <c:v>6.28</c:v>
                </c:pt>
                <c:pt idx="48">
                  <c:v>6.43</c:v>
                </c:pt>
                <c:pt idx="49">
                  <c:v>6.59</c:v>
                </c:pt>
                <c:pt idx="50">
                  <c:v>6.74</c:v>
                </c:pt>
                <c:pt idx="51">
                  <c:v>6.89</c:v>
                </c:pt>
                <c:pt idx="52">
                  <c:v>7.04</c:v>
                </c:pt>
                <c:pt idx="53">
                  <c:v>7.2</c:v>
                </c:pt>
                <c:pt idx="54">
                  <c:v>7.35</c:v>
                </c:pt>
                <c:pt idx="55">
                  <c:v>7.51</c:v>
                </c:pt>
                <c:pt idx="56">
                  <c:v>7.66</c:v>
                </c:pt>
                <c:pt idx="57">
                  <c:v>7.82</c:v>
                </c:pt>
                <c:pt idx="58">
                  <c:v>7.98</c:v>
                </c:pt>
                <c:pt idx="59">
                  <c:v>8.14</c:v>
                </c:pt>
                <c:pt idx="60">
                  <c:v>8.3000000000000007</c:v>
                </c:pt>
                <c:pt idx="61">
                  <c:v>8.4600000000000009</c:v>
                </c:pt>
                <c:pt idx="62">
                  <c:v>8.6199999999999992</c:v>
                </c:pt>
                <c:pt idx="63">
                  <c:v>8.7799999999999994</c:v>
                </c:pt>
                <c:pt idx="64">
                  <c:v>8.94</c:v>
                </c:pt>
                <c:pt idx="65">
                  <c:v>9.1</c:v>
                </c:pt>
                <c:pt idx="66">
                  <c:v>9.27</c:v>
                </c:pt>
                <c:pt idx="67">
                  <c:v>9.43</c:v>
                </c:pt>
                <c:pt idx="68">
                  <c:v>9.6</c:v>
                </c:pt>
                <c:pt idx="69">
                  <c:v>9.77</c:v>
                </c:pt>
                <c:pt idx="70">
                  <c:v>9.93</c:v>
                </c:pt>
                <c:pt idx="71">
                  <c:v>10.1</c:v>
                </c:pt>
                <c:pt idx="72">
                  <c:v>10.27</c:v>
                </c:pt>
                <c:pt idx="73">
                  <c:v>10.44</c:v>
                </c:pt>
                <c:pt idx="74">
                  <c:v>10.61</c:v>
                </c:pt>
                <c:pt idx="75">
                  <c:v>10.79</c:v>
                </c:pt>
                <c:pt idx="76">
                  <c:v>10.96</c:v>
                </c:pt>
                <c:pt idx="77">
                  <c:v>11.13</c:v>
                </c:pt>
                <c:pt idx="78">
                  <c:v>11.31</c:v>
                </c:pt>
                <c:pt idx="79">
                  <c:v>11.48</c:v>
                </c:pt>
                <c:pt idx="80">
                  <c:v>11.66</c:v>
                </c:pt>
                <c:pt idx="81">
                  <c:v>11.84</c:v>
                </c:pt>
                <c:pt idx="82">
                  <c:v>12.02</c:v>
                </c:pt>
                <c:pt idx="83">
                  <c:v>12.2</c:v>
                </c:pt>
                <c:pt idx="84">
                  <c:v>12.38</c:v>
                </c:pt>
                <c:pt idx="85">
                  <c:v>12.56</c:v>
                </c:pt>
                <c:pt idx="86">
                  <c:v>12.75</c:v>
                </c:pt>
                <c:pt idx="87">
                  <c:v>12.93</c:v>
                </c:pt>
                <c:pt idx="88">
                  <c:v>13.12</c:v>
                </c:pt>
                <c:pt idx="89">
                  <c:v>13.3</c:v>
                </c:pt>
                <c:pt idx="90">
                  <c:v>13.49</c:v>
                </c:pt>
                <c:pt idx="91">
                  <c:v>13.68</c:v>
                </c:pt>
                <c:pt idx="92">
                  <c:v>13.87</c:v>
                </c:pt>
                <c:pt idx="93">
                  <c:v>14.06</c:v>
                </c:pt>
                <c:pt idx="94">
                  <c:v>14.26</c:v>
                </c:pt>
                <c:pt idx="95">
                  <c:v>14.45</c:v>
                </c:pt>
                <c:pt idx="96">
                  <c:v>14.65</c:v>
                </c:pt>
                <c:pt idx="97">
                  <c:v>14.84</c:v>
                </c:pt>
                <c:pt idx="98">
                  <c:v>15.04</c:v>
                </c:pt>
                <c:pt idx="99">
                  <c:v>15.24</c:v>
                </c:pt>
                <c:pt idx="100">
                  <c:v>15.44</c:v>
                </c:pt>
                <c:pt idx="101">
                  <c:v>15.65</c:v>
                </c:pt>
                <c:pt idx="102">
                  <c:v>15.85</c:v>
                </c:pt>
                <c:pt idx="103">
                  <c:v>16.05</c:v>
                </c:pt>
                <c:pt idx="104">
                  <c:v>16.260000000000002</c:v>
                </c:pt>
                <c:pt idx="105">
                  <c:v>16.47</c:v>
                </c:pt>
                <c:pt idx="106">
                  <c:v>16.68</c:v>
                </c:pt>
                <c:pt idx="107">
                  <c:v>16.89</c:v>
                </c:pt>
                <c:pt idx="108">
                  <c:v>17.100000000000001</c:v>
                </c:pt>
                <c:pt idx="109">
                  <c:v>17.32</c:v>
                </c:pt>
                <c:pt idx="110">
                  <c:v>17.53</c:v>
                </c:pt>
                <c:pt idx="111">
                  <c:v>17.75</c:v>
                </c:pt>
                <c:pt idx="112">
                  <c:v>17.97</c:v>
                </c:pt>
                <c:pt idx="113">
                  <c:v>18.190000000000001</c:v>
                </c:pt>
                <c:pt idx="114">
                  <c:v>18.420000000000002</c:v>
                </c:pt>
                <c:pt idx="115">
                  <c:v>18.64</c:v>
                </c:pt>
                <c:pt idx="116">
                  <c:v>18.87</c:v>
                </c:pt>
                <c:pt idx="117">
                  <c:v>19.100000000000001</c:v>
                </c:pt>
                <c:pt idx="118">
                  <c:v>19.329999999999998</c:v>
                </c:pt>
                <c:pt idx="119">
                  <c:v>19.559999999999999</c:v>
                </c:pt>
                <c:pt idx="120">
                  <c:v>19.79</c:v>
                </c:pt>
                <c:pt idx="121">
                  <c:v>20.03</c:v>
                </c:pt>
                <c:pt idx="122">
                  <c:v>20.27</c:v>
                </c:pt>
                <c:pt idx="123">
                  <c:v>20.51</c:v>
                </c:pt>
                <c:pt idx="124">
                  <c:v>20.75</c:v>
                </c:pt>
                <c:pt idx="125">
                  <c:v>21</c:v>
                </c:pt>
                <c:pt idx="126">
                  <c:v>21.24</c:v>
                </c:pt>
                <c:pt idx="127">
                  <c:v>21.49</c:v>
                </c:pt>
                <c:pt idx="128">
                  <c:v>21.74</c:v>
                </c:pt>
                <c:pt idx="129">
                  <c:v>22</c:v>
                </c:pt>
                <c:pt idx="130">
                  <c:v>22.25</c:v>
                </c:pt>
                <c:pt idx="131">
                  <c:v>22.51</c:v>
                </c:pt>
                <c:pt idx="132">
                  <c:v>22.78</c:v>
                </c:pt>
                <c:pt idx="133">
                  <c:v>23.04</c:v>
                </c:pt>
                <c:pt idx="134">
                  <c:v>23.31</c:v>
                </c:pt>
                <c:pt idx="135">
                  <c:v>23.58</c:v>
                </c:pt>
                <c:pt idx="136">
                  <c:v>23.85</c:v>
                </c:pt>
                <c:pt idx="137">
                  <c:v>24.13</c:v>
                </c:pt>
                <c:pt idx="138">
                  <c:v>24.41</c:v>
                </c:pt>
                <c:pt idx="139">
                  <c:v>24.69</c:v>
                </c:pt>
                <c:pt idx="140">
                  <c:v>24.97</c:v>
                </c:pt>
                <c:pt idx="141">
                  <c:v>25.26</c:v>
                </c:pt>
                <c:pt idx="142">
                  <c:v>25.55</c:v>
                </c:pt>
                <c:pt idx="143">
                  <c:v>25.85</c:v>
                </c:pt>
                <c:pt idx="144">
                  <c:v>26.15</c:v>
                </c:pt>
                <c:pt idx="145">
                  <c:v>26.45</c:v>
                </c:pt>
                <c:pt idx="146">
                  <c:v>26.76</c:v>
                </c:pt>
                <c:pt idx="147">
                  <c:v>27.07</c:v>
                </c:pt>
                <c:pt idx="148">
                  <c:v>27.38</c:v>
                </c:pt>
                <c:pt idx="149">
                  <c:v>27.7</c:v>
                </c:pt>
                <c:pt idx="150">
                  <c:v>28.03</c:v>
                </c:pt>
                <c:pt idx="151">
                  <c:v>28.35</c:v>
                </c:pt>
                <c:pt idx="152">
                  <c:v>28.69</c:v>
                </c:pt>
                <c:pt idx="153">
                  <c:v>29.02</c:v>
                </c:pt>
                <c:pt idx="154">
                  <c:v>29.36</c:v>
                </c:pt>
                <c:pt idx="155">
                  <c:v>29.71</c:v>
                </c:pt>
                <c:pt idx="156">
                  <c:v>30.06</c:v>
                </c:pt>
                <c:pt idx="157">
                  <c:v>30.42</c:v>
                </c:pt>
                <c:pt idx="158">
                  <c:v>30.79</c:v>
                </c:pt>
                <c:pt idx="159">
                  <c:v>31.16</c:v>
                </c:pt>
                <c:pt idx="160">
                  <c:v>31.53</c:v>
                </c:pt>
                <c:pt idx="161">
                  <c:v>31.91</c:v>
                </c:pt>
                <c:pt idx="162">
                  <c:v>32.299999999999997</c:v>
                </c:pt>
                <c:pt idx="163">
                  <c:v>32.700000000000003</c:v>
                </c:pt>
                <c:pt idx="164">
                  <c:v>33.1</c:v>
                </c:pt>
                <c:pt idx="165">
                  <c:v>33.51</c:v>
                </c:pt>
                <c:pt idx="166">
                  <c:v>33.93</c:v>
                </c:pt>
                <c:pt idx="167">
                  <c:v>34.36</c:v>
                </c:pt>
                <c:pt idx="168">
                  <c:v>34.799999999999997</c:v>
                </c:pt>
                <c:pt idx="169">
                  <c:v>35.24</c:v>
                </c:pt>
                <c:pt idx="170">
                  <c:v>35.700000000000003</c:v>
                </c:pt>
                <c:pt idx="171">
                  <c:v>36.17</c:v>
                </c:pt>
                <c:pt idx="172">
                  <c:v>36.64</c:v>
                </c:pt>
                <c:pt idx="173">
                  <c:v>37.130000000000003</c:v>
                </c:pt>
                <c:pt idx="174">
                  <c:v>37.630000000000003</c:v>
                </c:pt>
                <c:pt idx="175">
                  <c:v>38.15</c:v>
                </c:pt>
                <c:pt idx="176">
                  <c:v>38.68</c:v>
                </c:pt>
                <c:pt idx="177">
                  <c:v>39.22</c:v>
                </c:pt>
                <c:pt idx="178">
                  <c:v>39.78</c:v>
                </c:pt>
                <c:pt idx="179">
                  <c:v>40.36</c:v>
                </c:pt>
                <c:pt idx="180">
                  <c:v>40.950000000000003</c:v>
                </c:pt>
                <c:pt idx="181">
                  <c:v>41.57</c:v>
                </c:pt>
                <c:pt idx="182">
                  <c:v>42.21</c:v>
                </c:pt>
                <c:pt idx="183">
                  <c:v>42.87</c:v>
                </c:pt>
                <c:pt idx="184">
                  <c:v>43.56</c:v>
                </c:pt>
                <c:pt idx="185">
                  <c:v>44.27</c:v>
                </c:pt>
                <c:pt idx="186">
                  <c:v>45.02</c:v>
                </c:pt>
                <c:pt idx="187">
                  <c:v>45.81</c:v>
                </c:pt>
                <c:pt idx="188">
                  <c:v>46.63</c:v>
                </c:pt>
                <c:pt idx="189">
                  <c:v>47.5</c:v>
                </c:pt>
                <c:pt idx="190">
                  <c:v>48.43</c:v>
                </c:pt>
                <c:pt idx="191">
                  <c:v>49.41</c:v>
                </c:pt>
                <c:pt idx="192">
                  <c:v>50.46</c:v>
                </c:pt>
                <c:pt idx="193">
                  <c:v>51.61</c:v>
                </c:pt>
                <c:pt idx="194">
                  <c:v>52.85</c:v>
                </c:pt>
                <c:pt idx="195">
                  <c:v>54.23</c:v>
                </c:pt>
                <c:pt idx="196">
                  <c:v>55.78</c:v>
                </c:pt>
                <c:pt idx="197">
                  <c:v>57.56</c:v>
                </c:pt>
                <c:pt idx="198">
                  <c:v>59.69</c:v>
                </c:pt>
                <c:pt idx="199">
                  <c:v>62.4</c:v>
                </c:pt>
                <c:pt idx="200">
                  <c:v>66.33</c:v>
                </c:pt>
                <c:pt idx="201">
                  <c:v>83.33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'Boarding time function'!$H$8</c:f>
              <c:strCache>
                <c:ptCount val="1"/>
                <c:pt idx="0">
                  <c:v>S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'Boarding time function'!$E$9:$E$210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</c:numCache>
            </c:numRef>
          </c:xVal>
          <c:yVal>
            <c:numRef>
              <c:f>'Boarding time function'!$H$9:$H$210</c:f>
              <c:numCache>
                <c:formatCode>General</c:formatCode>
                <c:ptCount val="202"/>
                <c:pt idx="0">
                  <c:v>0.88495575221238942</c:v>
                </c:pt>
                <c:pt idx="2">
                  <c:v>8.3333333333333339</c:v>
                </c:pt>
                <c:pt idx="3">
                  <c:v>7.6923076923076916</c:v>
                </c:pt>
                <c:pt idx="4">
                  <c:v>8.3333333333333339</c:v>
                </c:pt>
                <c:pt idx="5">
                  <c:v>7.6923076923076916</c:v>
                </c:pt>
                <c:pt idx="6">
                  <c:v>7.6923076923076916</c:v>
                </c:pt>
                <c:pt idx="7">
                  <c:v>7.6923076923076916</c:v>
                </c:pt>
                <c:pt idx="8">
                  <c:v>8.3333333333333339</c:v>
                </c:pt>
                <c:pt idx="9">
                  <c:v>7.6923076923076987</c:v>
                </c:pt>
                <c:pt idx="10">
                  <c:v>7.6923076923076854</c:v>
                </c:pt>
                <c:pt idx="11">
                  <c:v>7.6923076923076987</c:v>
                </c:pt>
                <c:pt idx="12">
                  <c:v>7.6923076923076854</c:v>
                </c:pt>
                <c:pt idx="13">
                  <c:v>7.6923076923076987</c:v>
                </c:pt>
                <c:pt idx="14">
                  <c:v>7.6923076923076854</c:v>
                </c:pt>
                <c:pt idx="15">
                  <c:v>7.1428571428571477</c:v>
                </c:pt>
                <c:pt idx="16">
                  <c:v>7.6923076923076854</c:v>
                </c:pt>
                <c:pt idx="17">
                  <c:v>7.6923076923076987</c:v>
                </c:pt>
                <c:pt idx="18">
                  <c:v>7.6923076923076987</c:v>
                </c:pt>
                <c:pt idx="19">
                  <c:v>7.1428571428571361</c:v>
                </c:pt>
                <c:pt idx="20">
                  <c:v>7.6923076923076987</c:v>
                </c:pt>
                <c:pt idx="21">
                  <c:v>7.1428571428571361</c:v>
                </c:pt>
                <c:pt idx="22">
                  <c:v>7.6923076923076987</c:v>
                </c:pt>
                <c:pt idx="23">
                  <c:v>7.1428571428571361</c:v>
                </c:pt>
                <c:pt idx="24">
                  <c:v>7.1428571428571361</c:v>
                </c:pt>
                <c:pt idx="25">
                  <c:v>7.6923076923076987</c:v>
                </c:pt>
                <c:pt idx="26">
                  <c:v>7.1428571428571361</c:v>
                </c:pt>
                <c:pt idx="27">
                  <c:v>7.1428571428571592</c:v>
                </c:pt>
                <c:pt idx="28">
                  <c:v>7.1428571428571361</c:v>
                </c:pt>
                <c:pt idx="29">
                  <c:v>7.1428571428571361</c:v>
                </c:pt>
                <c:pt idx="30">
                  <c:v>7.1428571428571361</c:v>
                </c:pt>
                <c:pt idx="31">
                  <c:v>7.1428571428571361</c:v>
                </c:pt>
                <c:pt idx="32">
                  <c:v>7.1428571428571592</c:v>
                </c:pt>
                <c:pt idx="33">
                  <c:v>7.1428571428571592</c:v>
                </c:pt>
                <c:pt idx="34">
                  <c:v>7.1428571428571139</c:v>
                </c:pt>
                <c:pt idx="35">
                  <c:v>7.1428571428571592</c:v>
                </c:pt>
                <c:pt idx="36">
                  <c:v>6.666666666666651</c:v>
                </c:pt>
                <c:pt idx="37">
                  <c:v>7.1428571428571592</c:v>
                </c:pt>
                <c:pt idx="38">
                  <c:v>7.1428571428571592</c:v>
                </c:pt>
                <c:pt idx="39">
                  <c:v>6.666666666666651</c:v>
                </c:pt>
                <c:pt idx="40">
                  <c:v>6.666666666666651</c:v>
                </c:pt>
                <c:pt idx="41">
                  <c:v>7.1428571428571592</c:v>
                </c:pt>
                <c:pt idx="42">
                  <c:v>6.666666666666651</c:v>
                </c:pt>
                <c:pt idx="43">
                  <c:v>6.6666666666666901</c:v>
                </c:pt>
                <c:pt idx="44">
                  <c:v>6.666666666666651</c:v>
                </c:pt>
                <c:pt idx="45">
                  <c:v>7.1428571428571592</c:v>
                </c:pt>
                <c:pt idx="46">
                  <c:v>6.666666666666651</c:v>
                </c:pt>
                <c:pt idx="47">
                  <c:v>6.6666666666666901</c:v>
                </c:pt>
                <c:pt idx="48">
                  <c:v>6.2499999999999947</c:v>
                </c:pt>
                <c:pt idx="49">
                  <c:v>6.666666666666651</c:v>
                </c:pt>
                <c:pt idx="50">
                  <c:v>6.6666666666666901</c:v>
                </c:pt>
                <c:pt idx="51">
                  <c:v>6.666666666666651</c:v>
                </c:pt>
                <c:pt idx="52">
                  <c:v>6.2499999999999947</c:v>
                </c:pt>
                <c:pt idx="53">
                  <c:v>6.6666666666666901</c:v>
                </c:pt>
                <c:pt idx="54">
                  <c:v>6.2499999999999947</c:v>
                </c:pt>
                <c:pt idx="55">
                  <c:v>6.666666666666651</c:v>
                </c:pt>
                <c:pt idx="56">
                  <c:v>6.2499999999999947</c:v>
                </c:pt>
                <c:pt idx="57">
                  <c:v>6.2499999999999947</c:v>
                </c:pt>
                <c:pt idx="58">
                  <c:v>6.2499999999999947</c:v>
                </c:pt>
                <c:pt idx="59">
                  <c:v>6.2499999999999947</c:v>
                </c:pt>
                <c:pt idx="60">
                  <c:v>6.2499999999999947</c:v>
                </c:pt>
                <c:pt idx="61">
                  <c:v>6.2500000000000639</c:v>
                </c:pt>
                <c:pt idx="62">
                  <c:v>6.2499999999999947</c:v>
                </c:pt>
                <c:pt idx="63">
                  <c:v>6.2499999999999947</c:v>
                </c:pt>
                <c:pt idx="64">
                  <c:v>6.2499999999999947</c:v>
                </c:pt>
                <c:pt idx="65">
                  <c:v>5.8823529411764728</c:v>
                </c:pt>
                <c:pt idx="66">
                  <c:v>6.2499999999999947</c:v>
                </c:pt>
                <c:pt idx="67">
                  <c:v>5.8823529411764728</c:v>
                </c:pt>
                <c:pt idx="68">
                  <c:v>5.8823529411764728</c:v>
                </c:pt>
                <c:pt idx="69">
                  <c:v>6.2499999999999947</c:v>
                </c:pt>
                <c:pt idx="70">
                  <c:v>5.8823529411764728</c:v>
                </c:pt>
                <c:pt idx="71">
                  <c:v>5.8823529411764728</c:v>
                </c:pt>
                <c:pt idx="72">
                  <c:v>5.8823529411764728</c:v>
                </c:pt>
                <c:pt idx="73">
                  <c:v>5.8823529411764728</c:v>
                </c:pt>
                <c:pt idx="74">
                  <c:v>5.5555555555555642</c:v>
                </c:pt>
                <c:pt idx="75">
                  <c:v>5.8823529411764115</c:v>
                </c:pt>
                <c:pt idx="76">
                  <c:v>5.8823529411764728</c:v>
                </c:pt>
                <c:pt idx="77">
                  <c:v>5.5555555555555642</c:v>
                </c:pt>
                <c:pt idx="78">
                  <c:v>5.8823529411764728</c:v>
                </c:pt>
                <c:pt idx="79">
                  <c:v>5.5555555555555642</c:v>
                </c:pt>
                <c:pt idx="80">
                  <c:v>5.5555555555555642</c:v>
                </c:pt>
                <c:pt idx="81">
                  <c:v>5.5555555555555642</c:v>
                </c:pt>
                <c:pt idx="82">
                  <c:v>5.5555555555555642</c:v>
                </c:pt>
                <c:pt idx="83">
                  <c:v>5.5555555555555092</c:v>
                </c:pt>
                <c:pt idx="84">
                  <c:v>5.5555555555555642</c:v>
                </c:pt>
                <c:pt idx="85">
                  <c:v>5.2631578947368558</c:v>
                </c:pt>
                <c:pt idx="86">
                  <c:v>5.5555555555555642</c:v>
                </c:pt>
                <c:pt idx="87">
                  <c:v>5.2631578947368558</c:v>
                </c:pt>
                <c:pt idx="88">
                  <c:v>5.5555555555555092</c:v>
                </c:pt>
                <c:pt idx="89">
                  <c:v>5.2631578947368558</c:v>
                </c:pt>
                <c:pt idx="90">
                  <c:v>5.2631578947368558</c:v>
                </c:pt>
                <c:pt idx="91">
                  <c:v>5.2631578947368558</c:v>
                </c:pt>
                <c:pt idx="92">
                  <c:v>5.263157894736807</c:v>
                </c:pt>
                <c:pt idx="93">
                  <c:v>5.0000000000000178</c:v>
                </c:pt>
                <c:pt idx="94">
                  <c:v>5.2631578947368558</c:v>
                </c:pt>
                <c:pt idx="95">
                  <c:v>4.9999999999999734</c:v>
                </c:pt>
                <c:pt idx="96">
                  <c:v>5.2631578947368558</c:v>
                </c:pt>
                <c:pt idx="97">
                  <c:v>5.0000000000000178</c:v>
                </c:pt>
                <c:pt idx="98">
                  <c:v>4.9999999999999734</c:v>
                </c:pt>
                <c:pt idx="99">
                  <c:v>5.0000000000000178</c:v>
                </c:pt>
                <c:pt idx="100">
                  <c:v>4.7619047619047423</c:v>
                </c:pt>
                <c:pt idx="101">
                  <c:v>5.0000000000000178</c:v>
                </c:pt>
                <c:pt idx="102">
                  <c:v>4.9999999999999734</c:v>
                </c:pt>
                <c:pt idx="103">
                  <c:v>4.7619047619047423</c:v>
                </c:pt>
                <c:pt idx="104">
                  <c:v>4.7619047619048231</c:v>
                </c:pt>
                <c:pt idx="105">
                  <c:v>4.7619047619047423</c:v>
                </c:pt>
                <c:pt idx="106">
                  <c:v>4.7619047619047423</c:v>
                </c:pt>
                <c:pt idx="107">
                  <c:v>4.7619047619047423</c:v>
                </c:pt>
                <c:pt idx="108">
                  <c:v>4.545454545454569</c:v>
                </c:pt>
                <c:pt idx="109">
                  <c:v>4.7619047619047423</c:v>
                </c:pt>
                <c:pt idx="110">
                  <c:v>4.545454545454569</c:v>
                </c:pt>
                <c:pt idx="111">
                  <c:v>4.545454545454569</c:v>
                </c:pt>
                <c:pt idx="112">
                  <c:v>4.5454545454544952</c:v>
                </c:pt>
                <c:pt idx="113">
                  <c:v>4.3478260869565135</c:v>
                </c:pt>
                <c:pt idx="114">
                  <c:v>4.545454545454569</c:v>
                </c:pt>
                <c:pt idx="115">
                  <c:v>4.3478260869565135</c:v>
                </c:pt>
                <c:pt idx="116">
                  <c:v>4.3478260869565135</c:v>
                </c:pt>
                <c:pt idx="117">
                  <c:v>4.347826086956581</c:v>
                </c:pt>
                <c:pt idx="118">
                  <c:v>4.3478260869565135</c:v>
                </c:pt>
                <c:pt idx="119">
                  <c:v>4.3478260869565135</c:v>
                </c:pt>
                <c:pt idx="120">
                  <c:v>4.1666666666666323</c:v>
                </c:pt>
                <c:pt idx="121">
                  <c:v>4.1666666666666936</c:v>
                </c:pt>
                <c:pt idx="122">
                  <c:v>4.1666666666666323</c:v>
                </c:pt>
                <c:pt idx="123">
                  <c:v>4.1666666666666936</c:v>
                </c:pt>
                <c:pt idx="124">
                  <c:v>4</c:v>
                </c:pt>
                <c:pt idx="125">
                  <c:v>4.1666666666666936</c:v>
                </c:pt>
                <c:pt idx="126">
                  <c:v>4</c:v>
                </c:pt>
                <c:pt idx="127">
                  <c:v>4</c:v>
                </c:pt>
                <c:pt idx="128">
                  <c:v>3.8461538461538232</c:v>
                </c:pt>
                <c:pt idx="129">
                  <c:v>4</c:v>
                </c:pt>
                <c:pt idx="130">
                  <c:v>3.8461538461538232</c:v>
                </c:pt>
                <c:pt idx="131">
                  <c:v>3.7037037037037095</c:v>
                </c:pt>
                <c:pt idx="132">
                  <c:v>3.8461538461538756</c:v>
                </c:pt>
                <c:pt idx="133">
                  <c:v>3.7037037037037095</c:v>
                </c:pt>
                <c:pt idx="134">
                  <c:v>3.7037037037037095</c:v>
                </c:pt>
                <c:pt idx="135">
                  <c:v>3.7037037037036606</c:v>
                </c:pt>
                <c:pt idx="136">
                  <c:v>3.5714285714286023</c:v>
                </c:pt>
                <c:pt idx="137">
                  <c:v>3.571428571428557</c:v>
                </c:pt>
                <c:pt idx="138">
                  <c:v>3.571428571428557</c:v>
                </c:pt>
                <c:pt idx="139">
                  <c:v>3.5714285714286023</c:v>
                </c:pt>
                <c:pt idx="140">
                  <c:v>3.4482758620689333</c:v>
                </c:pt>
                <c:pt idx="141">
                  <c:v>3.4482758620689755</c:v>
                </c:pt>
                <c:pt idx="142">
                  <c:v>3.3333333333333255</c:v>
                </c:pt>
                <c:pt idx="143">
                  <c:v>3.333333333333365</c:v>
                </c:pt>
                <c:pt idx="144">
                  <c:v>3.3333333333333255</c:v>
                </c:pt>
                <c:pt idx="145">
                  <c:v>3.2258064516128795</c:v>
                </c:pt>
                <c:pt idx="146">
                  <c:v>3.2258064516129163</c:v>
                </c:pt>
                <c:pt idx="147">
                  <c:v>3.2258064516129163</c:v>
                </c:pt>
                <c:pt idx="148">
                  <c:v>3.1249999999999973</c:v>
                </c:pt>
                <c:pt idx="149">
                  <c:v>3.0303030303030134</c:v>
                </c:pt>
                <c:pt idx="150">
                  <c:v>3.1249999999999973</c:v>
                </c:pt>
                <c:pt idx="151">
                  <c:v>2.9411764705882364</c:v>
                </c:pt>
                <c:pt idx="152">
                  <c:v>3.0303030303030458</c:v>
                </c:pt>
                <c:pt idx="153">
                  <c:v>2.9411764705882364</c:v>
                </c:pt>
                <c:pt idx="154">
                  <c:v>2.8571428571428457</c:v>
                </c:pt>
                <c:pt idx="155">
                  <c:v>2.8571428571428745</c:v>
                </c:pt>
                <c:pt idx="156">
                  <c:v>2.7777777777777546</c:v>
                </c:pt>
                <c:pt idx="157">
                  <c:v>2.7027027027027213</c:v>
                </c:pt>
                <c:pt idx="158">
                  <c:v>2.7027027027026955</c:v>
                </c:pt>
                <c:pt idx="159">
                  <c:v>2.7027027027026955</c:v>
                </c:pt>
                <c:pt idx="160">
                  <c:v>2.6315789473684279</c:v>
                </c:pt>
                <c:pt idx="161">
                  <c:v>2.5641025641025839</c:v>
                </c:pt>
                <c:pt idx="162">
                  <c:v>2.4999999999999645</c:v>
                </c:pt>
                <c:pt idx="163">
                  <c:v>2.5000000000000089</c:v>
                </c:pt>
                <c:pt idx="164">
                  <c:v>2.4390243902439228</c:v>
                </c:pt>
                <c:pt idx="165">
                  <c:v>2.3809523809523712</c:v>
                </c:pt>
                <c:pt idx="166">
                  <c:v>2.3255813953488387</c:v>
                </c:pt>
                <c:pt idx="167">
                  <c:v>2.2727272727272845</c:v>
                </c:pt>
                <c:pt idx="168">
                  <c:v>2.2727272727272476</c:v>
                </c:pt>
                <c:pt idx="169">
                  <c:v>2.1739130434782568</c:v>
                </c:pt>
                <c:pt idx="170">
                  <c:v>2.1276595744680904</c:v>
                </c:pt>
                <c:pt idx="171">
                  <c:v>2.1276595744680904</c:v>
                </c:pt>
                <c:pt idx="172">
                  <c:v>2.0408163265306039</c:v>
                </c:pt>
                <c:pt idx="173">
                  <c:v>2</c:v>
                </c:pt>
                <c:pt idx="174">
                  <c:v>1.9230769230769378</c:v>
                </c:pt>
                <c:pt idx="175">
                  <c:v>1.8867924528301847</c:v>
                </c:pt>
                <c:pt idx="176">
                  <c:v>1.8518518518518547</c:v>
                </c:pt>
                <c:pt idx="177">
                  <c:v>1.7857142857142785</c:v>
                </c:pt>
                <c:pt idx="178">
                  <c:v>1.7241379310344878</c:v>
                </c:pt>
                <c:pt idx="179">
                  <c:v>1.6949152542372783</c:v>
                </c:pt>
                <c:pt idx="180">
                  <c:v>1.6129032258064582</c:v>
                </c:pt>
                <c:pt idx="181">
                  <c:v>1.5624999999999987</c:v>
                </c:pt>
                <c:pt idx="182">
                  <c:v>1.5151515151515229</c:v>
                </c:pt>
                <c:pt idx="183">
                  <c:v>1.4492753623188304</c:v>
                </c:pt>
                <c:pt idx="184">
                  <c:v>1.4084507042253505</c:v>
                </c:pt>
                <c:pt idx="185">
                  <c:v>1.3333333333333333</c:v>
                </c:pt>
                <c:pt idx="186">
                  <c:v>1.265822784810128</c:v>
                </c:pt>
                <c:pt idx="187">
                  <c:v>1.2195121951219507</c:v>
                </c:pt>
                <c:pt idx="188">
                  <c:v>1.1494252873563253</c:v>
                </c:pt>
                <c:pt idx="189">
                  <c:v>1.0752688172043015</c:v>
                </c:pt>
                <c:pt idx="190">
                  <c:v>1.0204081632653095</c:v>
                </c:pt>
                <c:pt idx="191">
                  <c:v>0.95238095238094855</c:v>
                </c:pt>
                <c:pt idx="192">
                  <c:v>0.86956521739130543</c:v>
                </c:pt>
                <c:pt idx="193">
                  <c:v>0.80645161290322454</c:v>
                </c:pt>
                <c:pt idx="194">
                  <c:v>0.72463768115942273</c:v>
                </c:pt>
                <c:pt idx="195">
                  <c:v>0.64516129032257885</c:v>
                </c:pt>
                <c:pt idx="196">
                  <c:v>0.56179775280898836</c:v>
                </c:pt>
                <c:pt idx="197">
                  <c:v>0.46948356807511837</c:v>
                </c:pt>
                <c:pt idx="198">
                  <c:v>0.36900369003690026</c:v>
                </c:pt>
                <c:pt idx="199">
                  <c:v>0.2544529262086514</c:v>
                </c:pt>
                <c:pt idx="200">
                  <c:v>5.8823529411764705E-2</c:v>
                </c:pt>
                <c:pt idx="201">
                  <c:v>-1.2000480019200769E-2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352504"/>
        <c:axId val="681584608"/>
      </c:scatterChart>
      <c:valAx>
        <c:axId val="405352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81584608"/>
        <c:crosses val="autoZero"/>
        <c:crossBetween val="midCat"/>
      </c:valAx>
      <c:valAx>
        <c:axId val="681584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05352504"/>
        <c:crosses val="autoZero"/>
        <c:crossBetween val="midCat"/>
      </c:valAx>
      <c:spPr>
        <a:solidFill>
          <a:srgbClr val="CC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998391275403983"/>
          <c:y val="0.44473684210526315"/>
          <c:w val="8.723747980613894E-2"/>
          <c:h val="0.113157894736842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022" r="0.75000000000000022" t="1" header="0.49212598500000021" footer="0.492125985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483795748707377"/>
          <c:y val="0.10240960682590261"/>
          <c:w val="0.81619500753895113"/>
          <c:h val="0.86836366190012204"/>
        </c:manualLayout>
      </c:layout>
      <c:scatterChart>
        <c:scatterStyle val="lineMarker"/>
        <c:varyColors val="0"/>
        <c:ser>
          <c:idx val="0"/>
          <c:order val="0"/>
          <c:tx>
            <c:strRef>
              <c:f>Limits!$C$55</c:f>
              <c:strCache>
                <c:ptCount val="1"/>
                <c:pt idx="0">
                  <c:v>1128</c:v>
                </c:pt>
              </c:strCache>
            </c:strRef>
          </c:tx>
          <c:xVal>
            <c:numRef>
              <c:f>Limits!$D$55:$D$515</c:f>
              <c:numCache>
                <c:formatCode>General</c:formatCode>
                <c:ptCount val="461"/>
                <c:pt idx="0">
                  <c:v>38.994365000000002</c:v>
                </c:pt>
                <c:pt idx="1">
                  <c:v>38.994498999999998</c:v>
                </c:pt>
                <c:pt idx="2">
                  <c:v>38.994498999999998</c:v>
                </c:pt>
                <c:pt idx="3">
                  <c:v>38.994669000000002</c:v>
                </c:pt>
                <c:pt idx="4">
                  <c:v>38.994498999999998</c:v>
                </c:pt>
                <c:pt idx="5">
                  <c:v>38.994506999999999</c:v>
                </c:pt>
                <c:pt idx="6">
                  <c:v>38.994529</c:v>
                </c:pt>
                <c:pt idx="7">
                  <c:v>38.994590000000002</c:v>
                </c:pt>
                <c:pt idx="8">
                  <c:v>38.994779000000001</c:v>
                </c:pt>
                <c:pt idx="9">
                  <c:v>38.994365000000002</c:v>
                </c:pt>
                <c:pt idx="10">
                  <c:v>38.994472000000002</c:v>
                </c:pt>
                <c:pt idx="11">
                  <c:v>38.994079999999997</c:v>
                </c:pt>
                <c:pt idx="12">
                  <c:v>38.993597999999999</c:v>
                </c:pt>
                <c:pt idx="13">
                  <c:v>38.993929000000001</c:v>
                </c:pt>
                <c:pt idx="14">
                  <c:v>38.994137000000002</c:v>
                </c:pt>
                <c:pt idx="15">
                  <c:v>38.994239</c:v>
                </c:pt>
                <c:pt idx="16">
                  <c:v>38.994315999999998</c:v>
                </c:pt>
                <c:pt idx="17">
                  <c:v>38.994280000000003</c:v>
                </c:pt>
                <c:pt idx="18">
                  <c:v>38.994368000000001</c:v>
                </c:pt>
                <c:pt idx="19">
                  <c:v>38.994439</c:v>
                </c:pt>
                <c:pt idx="20">
                  <c:v>38.994498999999998</c:v>
                </c:pt>
                <c:pt idx="21">
                  <c:v>38.994490999999996</c:v>
                </c:pt>
                <c:pt idx="22">
                  <c:v>38.994579000000002</c:v>
                </c:pt>
                <c:pt idx="23">
                  <c:v>38.994487999999997</c:v>
                </c:pt>
                <c:pt idx="24">
                  <c:v>38.994517999999999</c:v>
                </c:pt>
                <c:pt idx="25">
                  <c:v>38.994517999999999</c:v>
                </c:pt>
                <c:pt idx="26">
                  <c:v>38.994568000000001</c:v>
                </c:pt>
                <c:pt idx="27">
                  <c:v>38.994608999999997</c:v>
                </c:pt>
                <c:pt idx="28">
                  <c:v>38.994698999999997</c:v>
                </c:pt>
                <c:pt idx="29">
                  <c:v>38.994869000000001</c:v>
                </c:pt>
                <c:pt idx="30">
                  <c:v>38.995049999999999</c:v>
                </c:pt>
                <c:pt idx="31">
                  <c:v>38.995249999999999</c:v>
                </c:pt>
                <c:pt idx="32">
                  <c:v>38.995308000000001</c:v>
                </c:pt>
                <c:pt idx="33">
                  <c:v>38.995477000000001</c:v>
                </c:pt>
                <c:pt idx="34">
                  <c:v>38.995708</c:v>
                </c:pt>
                <c:pt idx="35">
                  <c:v>38.995899000000001</c:v>
                </c:pt>
                <c:pt idx="36">
                  <c:v>38.996057999999998</c:v>
                </c:pt>
                <c:pt idx="37">
                  <c:v>38.996130000000001</c:v>
                </c:pt>
                <c:pt idx="38">
                  <c:v>38.996149000000003</c:v>
                </c:pt>
                <c:pt idx="39">
                  <c:v>38.996160000000003</c:v>
                </c:pt>
                <c:pt idx="40">
                  <c:v>38.996149000000003</c:v>
                </c:pt>
                <c:pt idx="41">
                  <c:v>38.996124000000002</c:v>
                </c:pt>
                <c:pt idx="42">
                  <c:v>38.996172999999999</c:v>
                </c:pt>
                <c:pt idx="43">
                  <c:v>38.996108</c:v>
                </c:pt>
                <c:pt idx="44">
                  <c:v>38.996017000000002</c:v>
                </c:pt>
                <c:pt idx="45">
                  <c:v>38.995838999999997</c:v>
                </c:pt>
                <c:pt idx="46">
                  <c:v>38.995593</c:v>
                </c:pt>
                <c:pt idx="47">
                  <c:v>38.995671999999999</c:v>
                </c:pt>
                <c:pt idx="48">
                  <c:v>38.995519000000002</c:v>
                </c:pt>
                <c:pt idx="49">
                  <c:v>38.994906999999998</c:v>
                </c:pt>
                <c:pt idx="50">
                  <c:v>38.994827999999998</c:v>
                </c:pt>
                <c:pt idx="51">
                  <c:v>38.994768000000001</c:v>
                </c:pt>
                <c:pt idx="52">
                  <c:v>38.994737999999998</c:v>
                </c:pt>
                <c:pt idx="53">
                  <c:v>38.994706999999998</c:v>
                </c:pt>
                <c:pt idx="54">
                  <c:v>38.994729</c:v>
                </c:pt>
                <c:pt idx="55">
                  <c:v>38.994888000000003</c:v>
                </c:pt>
                <c:pt idx="56">
                  <c:v>38.994968</c:v>
                </c:pt>
                <c:pt idx="57">
                  <c:v>38.994937999999998</c:v>
                </c:pt>
                <c:pt idx="58">
                  <c:v>38.995190000000001</c:v>
                </c:pt>
                <c:pt idx="59">
                  <c:v>38.995246999999999</c:v>
                </c:pt>
                <c:pt idx="60">
                  <c:v>38.995277000000002</c:v>
                </c:pt>
                <c:pt idx="61">
                  <c:v>38.995277000000002</c:v>
                </c:pt>
                <c:pt idx="62">
                  <c:v>38.995258</c:v>
                </c:pt>
                <c:pt idx="63">
                  <c:v>38.995159999999998</c:v>
                </c:pt>
                <c:pt idx="64">
                  <c:v>38.995058</c:v>
                </c:pt>
                <c:pt idx="65">
                  <c:v>38.994979000000001</c:v>
                </c:pt>
                <c:pt idx="66">
                  <c:v>38.994898999999997</c:v>
                </c:pt>
                <c:pt idx="67">
                  <c:v>38.994779000000001</c:v>
                </c:pt>
                <c:pt idx="68">
                  <c:v>38.994669000000002</c:v>
                </c:pt>
                <c:pt idx="69">
                  <c:v>38.994439</c:v>
                </c:pt>
                <c:pt idx="70">
                  <c:v>38.994058000000003</c:v>
                </c:pt>
                <c:pt idx="71">
                  <c:v>38.993926000000002</c:v>
                </c:pt>
                <c:pt idx="72">
                  <c:v>38.993948000000003</c:v>
                </c:pt>
                <c:pt idx="73">
                  <c:v>38.993758999999997</c:v>
                </c:pt>
                <c:pt idx="74">
                  <c:v>38.993783999999998</c:v>
                </c:pt>
                <c:pt idx="75">
                  <c:v>38.993758999999997</c:v>
                </c:pt>
                <c:pt idx="76">
                  <c:v>38.993639000000002</c:v>
                </c:pt>
                <c:pt idx="77">
                  <c:v>38.993228000000002</c:v>
                </c:pt>
                <c:pt idx="78">
                  <c:v>38.992818999999997</c:v>
                </c:pt>
                <c:pt idx="79">
                  <c:v>38.992638999999997</c:v>
                </c:pt>
                <c:pt idx="80">
                  <c:v>38.992567000000001</c:v>
                </c:pt>
                <c:pt idx="81">
                  <c:v>38.992584000000001</c:v>
                </c:pt>
                <c:pt idx="82">
                  <c:v>38.992510000000003</c:v>
                </c:pt>
                <c:pt idx="83">
                  <c:v>38.992438</c:v>
                </c:pt>
                <c:pt idx="84">
                  <c:v>38.992263000000001</c:v>
                </c:pt>
                <c:pt idx="85">
                  <c:v>38.992292999999997</c:v>
                </c:pt>
                <c:pt idx="86">
                  <c:v>38.992258</c:v>
                </c:pt>
                <c:pt idx="87">
                  <c:v>38.992249000000001</c:v>
                </c:pt>
                <c:pt idx="88">
                  <c:v>38.992249000000001</c:v>
                </c:pt>
                <c:pt idx="89">
                  <c:v>38.992258</c:v>
                </c:pt>
                <c:pt idx="90">
                  <c:v>38.992288000000002</c:v>
                </c:pt>
                <c:pt idx="91">
                  <c:v>38.992339999999999</c:v>
                </c:pt>
                <c:pt idx="92">
                  <c:v>38.992449000000001</c:v>
                </c:pt>
                <c:pt idx="93">
                  <c:v>38.992502000000002</c:v>
                </c:pt>
                <c:pt idx="94">
                  <c:v>38.992547999999999</c:v>
                </c:pt>
                <c:pt idx="95">
                  <c:v>38.992559</c:v>
                </c:pt>
                <c:pt idx="96">
                  <c:v>38.992597000000004</c:v>
                </c:pt>
                <c:pt idx="97">
                  <c:v>38.992910000000002</c:v>
                </c:pt>
                <c:pt idx="98">
                  <c:v>38.992958999999999</c:v>
                </c:pt>
                <c:pt idx="99">
                  <c:v>38.993167</c:v>
                </c:pt>
                <c:pt idx="100">
                  <c:v>38.993228000000002</c:v>
                </c:pt>
                <c:pt idx="101">
                  <c:v>38.993239000000003</c:v>
                </c:pt>
                <c:pt idx="102">
                  <c:v>38.993222000000003</c:v>
                </c:pt>
                <c:pt idx="103">
                  <c:v>38.993326000000003</c:v>
                </c:pt>
                <c:pt idx="104">
                  <c:v>38.993209</c:v>
                </c:pt>
                <c:pt idx="105">
                  <c:v>38.993088</c:v>
                </c:pt>
                <c:pt idx="106">
                  <c:v>38.992998</c:v>
                </c:pt>
                <c:pt idx="107">
                  <c:v>38.992868999999999</c:v>
                </c:pt>
                <c:pt idx="108">
                  <c:v>38.992688000000001</c:v>
                </c:pt>
                <c:pt idx="109">
                  <c:v>38.992407999999998</c:v>
                </c:pt>
                <c:pt idx="110">
                  <c:v>38.992159000000001</c:v>
                </c:pt>
                <c:pt idx="111">
                  <c:v>38.991658000000001</c:v>
                </c:pt>
                <c:pt idx="112">
                  <c:v>38.991449000000003</c:v>
                </c:pt>
                <c:pt idx="113">
                  <c:v>38.991169999999997</c:v>
                </c:pt>
                <c:pt idx="114">
                  <c:v>38.991249000000003</c:v>
                </c:pt>
                <c:pt idx="115">
                  <c:v>38.991342000000003</c:v>
                </c:pt>
                <c:pt idx="116">
                  <c:v>38.991169999999997</c:v>
                </c:pt>
                <c:pt idx="117">
                  <c:v>38.990879</c:v>
                </c:pt>
                <c:pt idx="118">
                  <c:v>38.989958999999999</c:v>
                </c:pt>
                <c:pt idx="119">
                  <c:v>38.989865000000002</c:v>
                </c:pt>
                <c:pt idx="120">
                  <c:v>38.989882000000001</c:v>
                </c:pt>
                <c:pt idx="121">
                  <c:v>38.989558000000002</c:v>
                </c:pt>
                <c:pt idx="122">
                  <c:v>38.989369000000003</c:v>
                </c:pt>
                <c:pt idx="123">
                  <c:v>38.989260000000002</c:v>
                </c:pt>
                <c:pt idx="124">
                  <c:v>38.989158000000003</c:v>
                </c:pt>
                <c:pt idx="125">
                  <c:v>38.989060000000002</c:v>
                </c:pt>
                <c:pt idx="126">
                  <c:v>38.988878999999997</c:v>
                </c:pt>
                <c:pt idx="127">
                  <c:v>38.988807999999999</c:v>
                </c:pt>
                <c:pt idx="128">
                  <c:v>38.988607999999999</c:v>
                </c:pt>
                <c:pt idx="129">
                  <c:v>38.988568999999998</c:v>
                </c:pt>
                <c:pt idx="130">
                  <c:v>38.988630000000001</c:v>
                </c:pt>
                <c:pt idx="131">
                  <c:v>38.988509000000001</c:v>
                </c:pt>
                <c:pt idx="132">
                  <c:v>38.988377</c:v>
                </c:pt>
                <c:pt idx="133">
                  <c:v>38.988328000000003</c:v>
                </c:pt>
                <c:pt idx="134">
                  <c:v>38.988188000000001</c:v>
                </c:pt>
                <c:pt idx="135">
                  <c:v>38.988078999999999</c:v>
                </c:pt>
                <c:pt idx="136">
                  <c:v>38.987999000000002</c:v>
                </c:pt>
                <c:pt idx="137">
                  <c:v>38.987988000000001</c:v>
                </c:pt>
                <c:pt idx="138">
                  <c:v>38.988016000000002</c:v>
                </c:pt>
                <c:pt idx="139">
                  <c:v>38.987949999999998</c:v>
                </c:pt>
                <c:pt idx="140">
                  <c:v>38.987923000000002</c:v>
                </c:pt>
                <c:pt idx="141">
                  <c:v>38.987920000000003</c:v>
                </c:pt>
                <c:pt idx="142">
                  <c:v>38.987920000000003</c:v>
                </c:pt>
                <c:pt idx="143">
                  <c:v>38.98789</c:v>
                </c:pt>
                <c:pt idx="144">
                  <c:v>38.987879</c:v>
                </c:pt>
                <c:pt idx="145">
                  <c:v>38.987909000000002</c:v>
                </c:pt>
                <c:pt idx="146">
                  <c:v>38.987957999999999</c:v>
                </c:pt>
                <c:pt idx="147">
                  <c:v>38.988038000000003</c:v>
                </c:pt>
                <c:pt idx="148">
                  <c:v>38.988149999999997</c:v>
                </c:pt>
                <c:pt idx="149">
                  <c:v>38.988177</c:v>
                </c:pt>
                <c:pt idx="150">
                  <c:v>38.988157999999999</c:v>
                </c:pt>
                <c:pt idx="151">
                  <c:v>38.988101</c:v>
                </c:pt>
                <c:pt idx="152">
                  <c:v>38.988131000000003</c:v>
                </c:pt>
                <c:pt idx="153">
                  <c:v>38.988098000000001</c:v>
                </c:pt>
                <c:pt idx="154">
                  <c:v>38.988017999999997</c:v>
                </c:pt>
                <c:pt idx="155">
                  <c:v>38.987938999999997</c:v>
                </c:pt>
                <c:pt idx="156">
                  <c:v>38.987799000000003</c:v>
                </c:pt>
                <c:pt idx="157">
                  <c:v>38.986739</c:v>
                </c:pt>
                <c:pt idx="158">
                  <c:v>38.986319000000002</c:v>
                </c:pt>
                <c:pt idx="159">
                  <c:v>38.986040000000003</c:v>
                </c:pt>
                <c:pt idx="160">
                  <c:v>38.985878</c:v>
                </c:pt>
                <c:pt idx="161">
                  <c:v>38.985751999999998</c:v>
                </c:pt>
                <c:pt idx="162">
                  <c:v>38.985736000000003</c:v>
                </c:pt>
                <c:pt idx="163">
                  <c:v>38.985678</c:v>
                </c:pt>
                <c:pt idx="164">
                  <c:v>38.985489000000001</c:v>
                </c:pt>
                <c:pt idx="165">
                  <c:v>38.985379999999999</c:v>
                </c:pt>
                <c:pt idx="166">
                  <c:v>38.985289000000002</c:v>
                </c:pt>
                <c:pt idx="167">
                  <c:v>38.985073</c:v>
                </c:pt>
                <c:pt idx="168">
                  <c:v>38.985146999999998</c:v>
                </c:pt>
                <c:pt idx="169">
                  <c:v>38.985059</c:v>
                </c:pt>
                <c:pt idx="170">
                  <c:v>38.984892000000002</c:v>
                </c:pt>
                <c:pt idx="171">
                  <c:v>38.984907999999997</c:v>
                </c:pt>
                <c:pt idx="172">
                  <c:v>38.984839999999998</c:v>
                </c:pt>
                <c:pt idx="173">
                  <c:v>38.984689000000003</c:v>
                </c:pt>
                <c:pt idx="174">
                  <c:v>38.984588000000002</c:v>
                </c:pt>
                <c:pt idx="175">
                  <c:v>38.984357000000003</c:v>
                </c:pt>
                <c:pt idx="176">
                  <c:v>38.98424</c:v>
                </c:pt>
                <c:pt idx="177">
                  <c:v>38.984113999999998</c:v>
                </c:pt>
                <c:pt idx="178">
                  <c:v>38.98424</c:v>
                </c:pt>
                <c:pt idx="179">
                  <c:v>38.984357000000003</c:v>
                </c:pt>
                <c:pt idx="180">
                  <c:v>38.984588000000002</c:v>
                </c:pt>
                <c:pt idx="181">
                  <c:v>38.984757999999999</c:v>
                </c:pt>
                <c:pt idx="182">
                  <c:v>38.984878000000002</c:v>
                </c:pt>
                <c:pt idx="183">
                  <c:v>38.985137999999999</c:v>
                </c:pt>
                <c:pt idx="184">
                  <c:v>38.985399000000001</c:v>
                </c:pt>
                <c:pt idx="185">
                  <c:v>38.985629000000003</c:v>
                </c:pt>
                <c:pt idx="186">
                  <c:v>38.986248000000003</c:v>
                </c:pt>
                <c:pt idx="187">
                  <c:v>38.986258999999997</c:v>
                </c:pt>
                <c:pt idx="188">
                  <c:v>38.986248000000003</c:v>
                </c:pt>
                <c:pt idx="189">
                  <c:v>38.986750000000001</c:v>
                </c:pt>
                <c:pt idx="190">
                  <c:v>38.986897999999997</c:v>
                </c:pt>
                <c:pt idx="191">
                  <c:v>38.987098000000003</c:v>
                </c:pt>
                <c:pt idx="192">
                  <c:v>38.987380000000002</c:v>
                </c:pt>
                <c:pt idx="193">
                  <c:v>38.987806999999997</c:v>
                </c:pt>
                <c:pt idx="194">
                  <c:v>38.988177</c:v>
                </c:pt>
                <c:pt idx="195">
                  <c:v>38.988227000000002</c:v>
                </c:pt>
                <c:pt idx="196">
                  <c:v>38.988177</c:v>
                </c:pt>
                <c:pt idx="197">
                  <c:v>38.988261999999999</c:v>
                </c:pt>
                <c:pt idx="198">
                  <c:v>38.988242999999997</c:v>
                </c:pt>
                <c:pt idx="199">
                  <c:v>38.988267999999998</c:v>
                </c:pt>
                <c:pt idx="200">
                  <c:v>38.988987999999999</c:v>
                </c:pt>
                <c:pt idx="201">
                  <c:v>38.989539000000001</c:v>
                </c:pt>
                <c:pt idx="202">
                  <c:v>38.990183000000002</c:v>
                </c:pt>
                <c:pt idx="203">
                  <c:v>38.990194000000002</c:v>
                </c:pt>
                <c:pt idx="204">
                  <c:v>38.990538999999998</c:v>
                </c:pt>
                <c:pt idx="205">
                  <c:v>38.990969999999997</c:v>
                </c:pt>
                <c:pt idx="206">
                  <c:v>38.991219000000001</c:v>
                </c:pt>
                <c:pt idx="207">
                  <c:v>38.991249000000003</c:v>
                </c:pt>
                <c:pt idx="208">
                  <c:v>38.991245999999997</c:v>
                </c:pt>
                <c:pt idx="209">
                  <c:v>38.991917999999998</c:v>
                </c:pt>
                <c:pt idx="210">
                  <c:v>38.992699000000002</c:v>
                </c:pt>
                <c:pt idx="211">
                  <c:v>38.992797000000003</c:v>
                </c:pt>
                <c:pt idx="212">
                  <c:v>38.993457999999997</c:v>
                </c:pt>
                <c:pt idx="213">
                  <c:v>38.993465999999998</c:v>
                </c:pt>
                <c:pt idx="214">
                  <c:v>38.994298999999998</c:v>
                </c:pt>
                <c:pt idx="215">
                  <c:v>38.994383999999997</c:v>
                </c:pt>
                <c:pt idx="216">
                  <c:v>38.994439</c:v>
                </c:pt>
                <c:pt idx="217">
                  <c:v>38.995027999999998</c:v>
                </c:pt>
                <c:pt idx="218">
                  <c:v>38.995159999999998</c:v>
                </c:pt>
                <c:pt idx="219">
                  <c:v>38.995359999999998</c:v>
                </c:pt>
                <c:pt idx="220">
                  <c:v>38.996209</c:v>
                </c:pt>
                <c:pt idx="221">
                  <c:v>38.996870000000001</c:v>
                </c:pt>
                <c:pt idx="222">
                  <c:v>38.996882999999997</c:v>
                </c:pt>
                <c:pt idx="223">
                  <c:v>38.997329999999998</c:v>
                </c:pt>
                <c:pt idx="224">
                  <c:v>38.999488999999997</c:v>
                </c:pt>
                <c:pt idx="225">
                  <c:v>38.999485999999997</c:v>
                </c:pt>
                <c:pt idx="226">
                  <c:v>38.999488999999997</c:v>
                </c:pt>
                <c:pt idx="227">
                  <c:v>38.999727999999998</c:v>
                </c:pt>
                <c:pt idx="228">
                  <c:v>39.000067000000001</c:v>
                </c:pt>
                <c:pt idx="229">
                  <c:v>39.000410000000002</c:v>
                </c:pt>
                <c:pt idx="230">
                  <c:v>39.000847999999998</c:v>
                </c:pt>
                <c:pt idx="231">
                  <c:v>39.002498000000003</c:v>
                </c:pt>
                <c:pt idx="232">
                  <c:v>39.004348</c:v>
                </c:pt>
                <c:pt idx="233">
                  <c:v>39.004759</c:v>
                </c:pt>
                <c:pt idx="234">
                  <c:v>39.004928999999997</c:v>
                </c:pt>
                <c:pt idx="235">
                  <c:v>39.004908999999998</c:v>
                </c:pt>
                <c:pt idx="236">
                  <c:v>39.005178000000001</c:v>
                </c:pt>
                <c:pt idx="237">
                  <c:v>39.005437999999998</c:v>
                </c:pt>
                <c:pt idx="238">
                  <c:v>39.006098999999999</c:v>
                </c:pt>
                <c:pt idx="239">
                  <c:v>39.006090999999998</c:v>
                </c:pt>
                <c:pt idx="240">
                  <c:v>39.005918000000001</c:v>
                </c:pt>
                <c:pt idx="241">
                  <c:v>39.005797000000001</c:v>
                </c:pt>
                <c:pt idx="242">
                  <c:v>39.005761999999997</c:v>
                </c:pt>
                <c:pt idx="243">
                  <c:v>39.005833000000003</c:v>
                </c:pt>
                <c:pt idx="244">
                  <c:v>39.005729000000002</c:v>
                </c:pt>
                <c:pt idx="245">
                  <c:v>39.005648999999998</c:v>
                </c:pt>
                <c:pt idx="246">
                  <c:v>39.005597000000002</c:v>
                </c:pt>
                <c:pt idx="247">
                  <c:v>39.005558999999998</c:v>
                </c:pt>
                <c:pt idx="248">
                  <c:v>39.005518000000002</c:v>
                </c:pt>
                <c:pt idx="249">
                  <c:v>39.005518000000002</c:v>
                </c:pt>
                <c:pt idx="250">
                  <c:v>39.005605000000003</c:v>
                </c:pt>
                <c:pt idx="251">
                  <c:v>39.005518000000002</c:v>
                </c:pt>
                <c:pt idx="252">
                  <c:v>39.005394000000003</c:v>
                </c:pt>
                <c:pt idx="253">
                  <c:v>39.005468</c:v>
                </c:pt>
                <c:pt idx="254">
                  <c:v>39.005386000000001</c:v>
                </c:pt>
                <c:pt idx="255">
                  <c:v>39.005299000000001</c:v>
                </c:pt>
                <c:pt idx="256">
                  <c:v>39.005268000000001</c:v>
                </c:pt>
                <c:pt idx="257">
                  <c:v>39.005226999999998</c:v>
                </c:pt>
                <c:pt idx="258">
                  <c:v>39.005147999999998</c:v>
                </c:pt>
                <c:pt idx="259">
                  <c:v>39.005037999999999</c:v>
                </c:pt>
                <c:pt idx="260">
                  <c:v>39.004800000000003</c:v>
                </c:pt>
                <c:pt idx="261">
                  <c:v>39.004668000000002</c:v>
                </c:pt>
                <c:pt idx="262">
                  <c:v>39.004589000000003</c:v>
                </c:pt>
                <c:pt idx="263">
                  <c:v>39.004548</c:v>
                </c:pt>
                <c:pt idx="264">
                  <c:v>39.004517999999997</c:v>
                </c:pt>
                <c:pt idx="265">
                  <c:v>39.004128000000001</c:v>
                </c:pt>
                <c:pt idx="266">
                  <c:v>39.003619</c:v>
                </c:pt>
                <c:pt idx="267">
                  <c:v>39.002830000000003</c:v>
                </c:pt>
                <c:pt idx="268">
                  <c:v>39.002799000000003</c:v>
                </c:pt>
                <c:pt idx="269">
                  <c:v>39.003098000000001</c:v>
                </c:pt>
                <c:pt idx="270">
                  <c:v>39.003357999999999</c:v>
                </c:pt>
                <c:pt idx="271">
                  <c:v>39.003599999999999</c:v>
                </c:pt>
                <c:pt idx="272">
                  <c:v>39.004049000000002</c:v>
                </c:pt>
                <c:pt idx="273">
                  <c:v>39.004517999999997</c:v>
                </c:pt>
                <c:pt idx="274">
                  <c:v>39.004550000000002</c:v>
                </c:pt>
                <c:pt idx="275">
                  <c:v>39.004561000000002</c:v>
                </c:pt>
                <c:pt idx="276">
                  <c:v>38.992939999999997</c:v>
                </c:pt>
                <c:pt idx="277">
                  <c:v>38.992707000000003</c:v>
                </c:pt>
                <c:pt idx="278">
                  <c:v>38.992699000000002</c:v>
                </c:pt>
                <c:pt idx="279">
                  <c:v>38.992556</c:v>
                </c:pt>
                <c:pt idx="280">
                  <c:v>38.992595000000001</c:v>
                </c:pt>
                <c:pt idx="281">
                  <c:v>38.992362</c:v>
                </c:pt>
                <c:pt idx="282">
                  <c:v>38.992227</c:v>
                </c:pt>
                <c:pt idx="283">
                  <c:v>38.992170000000002</c:v>
                </c:pt>
                <c:pt idx="284">
                  <c:v>38.992099000000003</c:v>
                </c:pt>
                <c:pt idx="285">
                  <c:v>38.991996999999998</c:v>
                </c:pt>
                <c:pt idx="286">
                  <c:v>38.991909999999997</c:v>
                </c:pt>
                <c:pt idx="287">
                  <c:v>38.991914999999999</c:v>
                </c:pt>
                <c:pt idx="288">
                  <c:v>38.991909999999997</c:v>
                </c:pt>
                <c:pt idx="289">
                  <c:v>38.990898000000001</c:v>
                </c:pt>
                <c:pt idx="290">
                  <c:v>38.990667999999999</c:v>
                </c:pt>
                <c:pt idx="291">
                  <c:v>38.990309000000003</c:v>
                </c:pt>
                <c:pt idx="292">
                  <c:v>38.990309000000003</c:v>
                </c:pt>
                <c:pt idx="293">
                  <c:v>38.990837999999997</c:v>
                </c:pt>
                <c:pt idx="294">
                  <c:v>38.991112000000001</c:v>
                </c:pt>
                <c:pt idx="295">
                  <c:v>38.991148000000003</c:v>
                </c:pt>
                <c:pt idx="296">
                  <c:v>38.991177999999998</c:v>
                </c:pt>
                <c:pt idx="297">
                  <c:v>38.991529</c:v>
                </c:pt>
                <c:pt idx="298">
                  <c:v>38.991759000000002</c:v>
                </c:pt>
                <c:pt idx="299">
                  <c:v>38.991978000000003</c:v>
                </c:pt>
                <c:pt idx="300">
                  <c:v>38.992006000000003</c:v>
                </c:pt>
                <c:pt idx="301">
                  <c:v>38.991985999999997</c:v>
                </c:pt>
                <c:pt idx="302">
                  <c:v>38.992528999999998</c:v>
                </c:pt>
                <c:pt idx="303">
                  <c:v>38.992899000000001</c:v>
                </c:pt>
                <c:pt idx="304">
                  <c:v>38.992998</c:v>
                </c:pt>
                <c:pt idx="305">
                  <c:v>38.993032999999997</c:v>
                </c:pt>
                <c:pt idx="306">
                  <c:v>38.993017000000002</c:v>
                </c:pt>
                <c:pt idx="307">
                  <c:v>38.993068999999998</c:v>
                </c:pt>
                <c:pt idx="308">
                  <c:v>38.993428000000002</c:v>
                </c:pt>
                <c:pt idx="309">
                  <c:v>38.993597999999999</c:v>
                </c:pt>
                <c:pt idx="310">
                  <c:v>38.993929000000001</c:v>
                </c:pt>
                <c:pt idx="311">
                  <c:v>38.994687999999996</c:v>
                </c:pt>
                <c:pt idx="312">
                  <c:v>38.995137999999997</c:v>
                </c:pt>
                <c:pt idx="313">
                  <c:v>38.995126999999997</c:v>
                </c:pt>
                <c:pt idx="314">
                  <c:v>38.995151</c:v>
                </c:pt>
                <c:pt idx="315">
                  <c:v>38.995137999999997</c:v>
                </c:pt>
                <c:pt idx="316">
                  <c:v>38.995868999999999</c:v>
                </c:pt>
                <c:pt idx="317">
                  <c:v>38.996560000000002</c:v>
                </c:pt>
                <c:pt idx="318">
                  <c:v>38.996575999999997</c:v>
                </c:pt>
                <c:pt idx="319">
                  <c:v>38.996560000000002</c:v>
                </c:pt>
                <c:pt idx="320">
                  <c:v>38.998170999999999</c:v>
                </c:pt>
                <c:pt idx="321">
                  <c:v>38.998176999999998</c:v>
                </c:pt>
                <c:pt idx="322">
                  <c:v>38.998179</c:v>
                </c:pt>
                <c:pt idx="323">
                  <c:v>38.999398999999997</c:v>
                </c:pt>
                <c:pt idx="324">
                  <c:v>39.000098000000001</c:v>
                </c:pt>
                <c:pt idx="325">
                  <c:v>39.001690000000004</c:v>
                </c:pt>
                <c:pt idx="326">
                  <c:v>39.002029</c:v>
                </c:pt>
                <c:pt idx="327">
                  <c:v>39.002369000000002</c:v>
                </c:pt>
                <c:pt idx="328">
                  <c:v>39.002799000000003</c:v>
                </c:pt>
                <c:pt idx="329">
                  <c:v>39.003098000000001</c:v>
                </c:pt>
                <c:pt idx="330">
                  <c:v>39.003357999999999</c:v>
                </c:pt>
                <c:pt idx="331">
                  <c:v>39.003599999999999</c:v>
                </c:pt>
                <c:pt idx="332">
                  <c:v>39.003630000000001</c:v>
                </c:pt>
                <c:pt idx="333">
                  <c:v>39.003599999999999</c:v>
                </c:pt>
                <c:pt idx="334">
                  <c:v>39.003357999999999</c:v>
                </c:pt>
                <c:pt idx="335">
                  <c:v>39.003098000000001</c:v>
                </c:pt>
                <c:pt idx="336">
                  <c:v>39.002799000000003</c:v>
                </c:pt>
                <c:pt idx="337">
                  <c:v>39.002830000000003</c:v>
                </c:pt>
                <c:pt idx="338">
                  <c:v>39.003619</c:v>
                </c:pt>
                <c:pt idx="339">
                  <c:v>39.004128000000001</c:v>
                </c:pt>
                <c:pt idx="340">
                  <c:v>39.004517999999997</c:v>
                </c:pt>
                <c:pt idx="341">
                  <c:v>39.004807999999997</c:v>
                </c:pt>
                <c:pt idx="342">
                  <c:v>39.005189000000001</c:v>
                </c:pt>
                <c:pt idx="343">
                  <c:v>39.005200000000002</c:v>
                </c:pt>
                <c:pt idx="344">
                  <c:v>39.005339999999997</c:v>
                </c:pt>
                <c:pt idx="345">
                  <c:v>39.006559000000003</c:v>
                </c:pt>
                <c:pt idx="346">
                  <c:v>39.006506999999999</c:v>
                </c:pt>
                <c:pt idx="347">
                  <c:v>39.006529</c:v>
                </c:pt>
                <c:pt idx="348">
                  <c:v>39.006487999999997</c:v>
                </c:pt>
                <c:pt idx="349">
                  <c:v>39.006819</c:v>
                </c:pt>
                <c:pt idx="350">
                  <c:v>39.007328999999999</c:v>
                </c:pt>
                <c:pt idx="351">
                  <c:v>39.00788</c:v>
                </c:pt>
                <c:pt idx="352">
                  <c:v>39.008597999999999</c:v>
                </c:pt>
                <c:pt idx="353">
                  <c:v>39.008650000000003</c:v>
                </c:pt>
                <c:pt idx="354">
                  <c:v>39.008676999999999</c:v>
                </c:pt>
                <c:pt idx="355">
                  <c:v>39.010027999999998</c:v>
                </c:pt>
                <c:pt idx="356">
                  <c:v>39.010089000000001</c:v>
                </c:pt>
                <c:pt idx="357">
                  <c:v>39.010137999999998</c:v>
                </c:pt>
                <c:pt idx="358">
                  <c:v>39.010109999999997</c:v>
                </c:pt>
                <c:pt idx="359">
                  <c:v>39.010787000000001</c:v>
                </c:pt>
                <c:pt idx="360">
                  <c:v>39.011918999999999</c:v>
                </c:pt>
                <c:pt idx="361">
                  <c:v>39.01247</c:v>
                </c:pt>
                <c:pt idx="362">
                  <c:v>39.013007000000002</c:v>
                </c:pt>
                <c:pt idx="363">
                  <c:v>39.012974</c:v>
                </c:pt>
                <c:pt idx="364">
                  <c:v>39.013097000000002</c:v>
                </c:pt>
                <c:pt idx="365">
                  <c:v>39.013665000000003</c:v>
                </c:pt>
                <c:pt idx="366">
                  <c:v>39.013688999999999</c:v>
                </c:pt>
                <c:pt idx="367">
                  <c:v>39.014150000000001</c:v>
                </c:pt>
                <c:pt idx="368">
                  <c:v>39.014429</c:v>
                </c:pt>
                <c:pt idx="369">
                  <c:v>39.014738999999999</c:v>
                </c:pt>
                <c:pt idx="370">
                  <c:v>39.015006999999997</c:v>
                </c:pt>
                <c:pt idx="371">
                  <c:v>39.015180000000001</c:v>
                </c:pt>
                <c:pt idx="372">
                  <c:v>39.015638000000003</c:v>
                </c:pt>
                <c:pt idx="373">
                  <c:v>39.015777</c:v>
                </c:pt>
                <c:pt idx="374">
                  <c:v>39.016539000000002</c:v>
                </c:pt>
                <c:pt idx="375">
                  <c:v>39.016883999999997</c:v>
                </c:pt>
                <c:pt idx="376">
                  <c:v>39.016905999999999</c:v>
                </c:pt>
                <c:pt idx="377">
                  <c:v>39.017037999999999</c:v>
                </c:pt>
                <c:pt idx="378">
                  <c:v>39.017498000000003</c:v>
                </c:pt>
                <c:pt idx="379">
                  <c:v>39.018138999999998</c:v>
                </c:pt>
                <c:pt idx="380">
                  <c:v>39.018219000000002</c:v>
                </c:pt>
                <c:pt idx="381">
                  <c:v>39.018197000000001</c:v>
                </c:pt>
                <c:pt idx="382">
                  <c:v>39.018608</c:v>
                </c:pt>
                <c:pt idx="383">
                  <c:v>39.019402999999997</c:v>
                </c:pt>
                <c:pt idx="384">
                  <c:v>39.019373000000002</c:v>
                </c:pt>
                <c:pt idx="385">
                  <c:v>39.019539999999999</c:v>
                </c:pt>
                <c:pt idx="386">
                  <c:v>39.020397000000003</c:v>
                </c:pt>
                <c:pt idx="387">
                  <c:v>39.020547999999998</c:v>
                </c:pt>
                <c:pt idx="388">
                  <c:v>39.020572999999999</c:v>
                </c:pt>
                <c:pt idx="389">
                  <c:v>39.020789000000001</c:v>
                </c:pt>
                <c:pt idx="390">
                  <c:v>39.021729000000001</c:v>
                </c:pt>
                <c:pt idx="391">
                  <c:v>39.022438999999999</c:v>
                </c:pt>
                <c:pt idx="392">
                  <c:v>39.022413999999998</c:v>
                </c:pt>
                <c:pt idx="393">
                  <c:v>39.022432999999999</c:v>
                </c:pt>
                <c:pt idx="394">
                  <c:v>39.022438999999999</c:v>
                </c:pt>
                <c:pt idx="395">
                  <c:v>39.023468999999999</c:v>
                </c:pt>
                <c:pt idx="396">
                  <c:v>39.024078000000003</c:v>
                </c:pt>
                <c:pt idx="397">
                  <c:v>39.024797999999997</c:v>
                </c:pt>
                <c:pt idx="398">
                  <c:v>39.024929999999998</c:v>
                </c:pt>
                <c:pt idx="399">
                  <c:v>39.024904999999997</c:v>
                </c:pt>
                <c:pt idx="400">
                  <c:v>39.024839</c:v>
                </c:pt>
                <c:pt idx="401">
                  <c:v>39.024878000000001</c:v>
                </c:pt>
                <c:pt idx="402">
                  <c:v>39.024842</c:v>
                </c:pt>
                <c:pt idx="403">
                  <c:v>39.024878000000001</c:v>
                </c:pt>
                <c:pt idx="404">
                  <c:v>39.024549</c:v>
                </c:pt>
                <c:pt idx="405">
                  <c:v>39.024217</c:v>
                </c:pt>
                <c:pt idx="406">
                  <c:v>39.023997999999999</c:v>
                </c:pt>
                <c:pt idx="407">
                  <c:v>39.023814999999999</c:v>
                </c:pt>
                <c:pt idx="408">
                  <c:v>39.023795</c:v>
                </c:pt>
                <c:pt idx="409">
                  <c:v>39.023760000000003</c:v>
                </c:pt>
                <c:pt idx="410">
                  <c:v>39.023617000000002</c:v>
                </c:pt>
                <c:pt idx="411">
                  <c:v>39.023477999999997</c:v>
                </c:pt>
                <c:pt idx="412">
                  <c:v>39.023277</c:v>
                </c:pt>
                <c:pt idx="413">
                  <c:v>39.023159999999997</c:v>
                </c:pt>
                <c:pt idx="414">
                  <c:v>39.02319</c:v>
                </c:pt>
                <c:pt idx="415">
                  <c:v>39.023164999999999</c:v>
                </c:pt>
                <c:pt idx="416">
                  <c:v>39.023159999999997</c:v>
                </c:pt>
                <c:pt idx="417">
                  <c:v>39.023277</c:v>
                </c:pt>
                <c:pt idx="418">
                  <c:v>39.023108000000001</c:v>
                </c:pt>
                <c:pt idx="419">
                  <c:v>39.023027999999996</c:v>
                </c:pt>
                <c:pt idx="420">
                  <c:v>39.022959999999998</c:v>
                </c:pt>
                <c:pt idx="421">
                  <c:v>39.022938000000003</c:v>
                </c:pt>
                <c:pt idx="422">
                  <c:v>39.022838999999998</c:v>
                </c:pt>
                <c:pt idx="423">
                  <c:v>39.022688000000002</c:v>
                </c:pt>
                <c:pt idx="424">
                  <c:v>39.022277000000003</c:v>
                </c:pt>
                <c:pt idx="425">
                  <c:v>39.022117999999999</c:v>
                </c:pt>
                <c:pt idx="426">
                  <c:v>39.022094000000003</c:v>
                </c:pt>
                <c:pt idx="427">
                  <c:v>39.022117999999999</c:v>
                </c:pt>
                <c:pt idx="428">
                  <c:v>39.022609000000003</c:v>
                </c:pt>
                <c:pt idx="429">
                  <c:v>39.023257999999998</c:v>
                </c:pt>
                <c:pt idx="430">
                  <c:v>39.023589999999999</c:v>
                </c:pt>
                <c:pt idx="431">
                  <c:v>39.023949000000002</c:v>
                </c:pt>
                <c:pt idx="432">
                  <c:v>39.02413</c:v>
                </c:pt>
                <c:pt idx="433">
                  <c:v>39.024338</c:v>
                </c:pt>
                <c:pt idx="434">
                  <c:v>39.024700000000003</c:v>
                </c:pt>
                <c:pt idx="435">
                  <c:v>39.025337999999998</c:v>
                </c:pt>
                <c:pt idx="436">
                  <c:v>39.025409000000003</c:v>
                </c:pt>
                <c:pt idx="437">
                  <c:v>39.025430999999998</c:v>
                </c:pt>
                <c:pt idx="438">
                  <c:v>39.025388</c:v>
                </c:pt>
                <c:pt idx="439">
                  <c:v>39.025737999999997</c:v>
                </c:pt>
                <c:pt idx="440">
                  <c:v>39.025812000000002</c:v>
                </c:pt>
                <c:pt idx="441">
                  <c:v>39.025888999999999</c:v>
                </c:pt>
                <c:pt idx="442">
                  <c:v>39.026119000000001</c:v>
                </c:pt>
                <c:pt idx="443">
                  <c:v>39.026209999999999</c:v>
                </c:pt>
                <c:pt idx="444">
                  <c:v>39.026358000000002</c:v>
                </c:pt>
                <c:pt idx="445">
                  <c:v>39.026387999999997</c:v>
                </c:pt>
                <c:pt idx="446">
                  <c:v>39.026459000000003</c:v>
                </c:pt>
                <c:pt idx="447">
                  <c:v>39.026519</c:v>
                </c:pt>
                <c:pt idx="448">
                  <c:v>39.026549000000003</c:v>
                </c:pt>
                <c:pt idx="449">
                  <c:v>39.026538000000002</c:v>
                </c:pt>
                <c:pt idx="450">
                  <c:v>39.026538000000002</c:v>
                </c:pt>
                <c:pt idx="451">
                  <c:v>39.026459000000003</c:v>
                </c:pt>
                <c:pt idx="452">
                  <c:v>39.026508</c:v>
                </c:pt>
                <c:pt idx="453">
                  <c:v>39.026488999999998</c:v>
                </c:pt>
                <c:pt idx="454">
                  <c:v>39.026488999999998</c:v>
                </c:pt>
                <c:pt idx="455">
                  <c:v>39.026519</c:v>
                </c:pt>
                <c:pt idx="456">
                  <c:v>39.026488999999998</c:v>
                </c:pt>
                <c:pt idx="457">
                  <c:v>39.026538000000002</c:v>
                </c:pt>
                <c:pt idx="458">
                  <c:v>39.026670000000003</c:v>
                </c:pt>
                <c:pt idx="459">
                  <c:v>39.026749000000002</c:v>
                </c:pt>
                <c:pt idx="460">
                  <c:v>39.026395999999998</c:v>
                </c:pt>
              </c:numCache>
            </c:numRef>
          </c:xVal>
          <c:yVal>
            <c:numRef>
              <c:f>Limits!$E$55:$E$515</c:f>
              <c:numCache>
                <c:formatCode>General</c:formatCode>
                <c:ptCount val="461"/>
                <c:pt idx="0">
                  <c:v>-77.027935999999997</c:v>
                </c:pt>
                <c:pt idx="1">
                  <c:v>-77.027941999999996</c:v>
                </c:pt>
                <c:pt idx="2">
                  <c:v>-77.027666999999994</c:v>
                </c:pt>
                <c:pt idx="3">
                  <c:v>-77.027664000000001</c:v>
                </c:pt>
                <c:pt idx="4">
                  <c:v>-77.027941999999996</c:v>
                </c:pt>
                <c:pt idx="5">
                  <c:v>-77.029139999999998</c:v>
                </c:pt>
                <c:pt idx="6">
                  <c:v>-77.029313000000002</c:v>
                </c:pt>
                <c:pt idx="7">
                  <c:v>-77.029522999999998</c:v>
                </c:pt>
                <c:pt idx="8">
                  <c:v>-77.030163000000002</c:v>
                </c:pt>
                <c:pt idx="9">
                  <c:v>-77.030887000000007</c:v>
                </c:pt>
                <c:pt idx="10">
                  <c:v>-77.030985000000001</c:v>
                </c:pt>
                <c:pt idx="11">
                  <c:v>-77.031391999999997</c:v>
                </c:pt>
                <c:pt idx="12">
                  <c:v>-77.032240999999999</c:v>
                </c:pt>
                <c:pt idx="13">
                  <c:v>-77.032610000000005</c:v>
                </c:pt>
                <c:pt idx="14">
                  <c:v>-77.032953000000006</c:v>
                </c:pt>
                <c:pt idx="15">
                  <c:v>-77.033184000000006</c:v>
                </c:pt>
                <c:pt idx="16">
                  <c:v>-77.033126999999993</c:v>
                </c:pt>
                <c:pt idx="17">
                  <c:v>-77.033271999999997</c:v>
                </c:pt>
                <c:pt idx="18">
                  <c:v>-77.033552999999998</c:v>
                </c:pt>
                <c:pt idx="19">
                  <c:v>-77.033851999999996</c:v>
                </c:pt>
                <c:pt idx="20">
                  <c:v>-77.034492999999998</c:v>
                </c:pt>
                <c:pt idx="21">
                  <c:v>-77.035053000000005</c:v>
                </c:pt>
                <c:pt idx="22">
                  <c:v>-77.035051999999993</c:v>
                </c:pt>
                <c:pt idx="23">
                  <c:v>-77.035281999999995</c:v>
                </c:pt>
                <c:pt idx="24">
                  <c:v>-77.036230000000003</c:v>
                </c:pt>
                <c:pt idx="25">
                  <c:v>-77.036349999999999</c:v>
                </c:pt>
                <c:pt idx="26">
                  <c:v>-77.036843000000005</c:v>
                </c:pt>
                <c:pt idx="27">
                  <c:v>-77.037023000000005</c:v>
                </c:pt>
                <c:pt idx="28">
                  <c:v>-77.037293000000005</c:v>
                </c:pt>
                <c:pt idx="29">
                  <c:v>-77.037643000000003</c:v>
                </c:pt>
                <c:pt idx="30">
                  <c:v>-77.037960999999996</c:v>
                </c:pt>
                <c:pt idx="31">
                  <c:v>-77.038269</c:v>
                </c:pt>
                <c:pt idx="32">
                  <c:v>-77.038207999999997</c:v>
                </c:pt>
                <c:pt idx="33">
                  <c:v>-77.038611000000003</c:v>
                </c:pt>
                <c:pt idx="34">
                  <c:v>-77.038972000000001</c:v>
                </c:pt>
                <c:pt idx="35">
                  <c:v>-77.039299999999997</c:v>
                </c:pt>
                <c:pt idx="36">
                  <c:v>-77.039681999999999</c:v>
                </c:pt>
                <c:pt idx="37">
                  <c:v>-77.039941999999996</c:v>
                </c:pt>
                <c:pt idx="38">
                  <c:v>-77.040182000000001</c:v>
                </c:pt>
                <c:pt idx="39">
                  <c:v>-77.040362000000002</c:v>
                </c:pt>
                <c:pt idx="40">
                  <c:v>-77.040572999999995</c:v>
                </c:pt>
                <c:pt idx="41">
                  <c:v>-77.040739000000002</c:v>
                </c:pt>
                <c:pt idx="42">
                  <c:v>-77.040749000000005</c:v>
                </c:pt>
                <c:pt idx="43">
                  <c:v>-77.040852000000001</c:v>
                </c:pt>
                <c:pt idx="44">
                  <c:v>-77.041143000000005</c:v>
                </c:pt>
                <c:pt idx="45">
                  <c:v>-77.041572000000002</c:v>
                </c:pt>
                <c:pt idx="46">
                  <c:v>-77.042047999999994</c:v>
                </c:pt>
                <c:pt idx="47">
                  <c:v>-77.042113999999998</c:v>
                </c:pt>
                <c:pt idx="48">
                  <c:v>-77.042192999999997</c:v>
                </c:pt>
                <c:pt idx="49">
                  <c:v>-77.043411000000006</c:v>
                </c:pt>
                <c:pt idx="50">
                  <c:v>-77.043581000000003</c:v>
                </c:pt>
                <c:pt idx="51">
                  <c:v>-77.043783000000005</c:v>
                </c:pt>
                <c:pt idx="52">
                  <c:v>-77.043970000000002</c:v>
                </c:pt>
                <c:pt idx="53">
                  <c:v>-77.044341000000003</c:v>
                </c:pt>
                <c:pt idx="54">
                  <c:v>-77.044601</c:v>
                </c:pt>
                <c:pt idx="55">
                  <c:v>-77.045332999999999</c:v>
                </c:pt>
                <c:pt idx="56">
                  <c:v>-77.045303000000004</c:v>
                </c:pt>
                <c:pt idx="57">
                  <c:v>-77.045544000000007</c:v>
                </c:pt>
                <c:pt idx="58">
                  <c:v>-77.046661</c:v>
                </c:pt>
                <c:pt idx="59">
                  <c:v>-77.047031000000004</c:v>
                </c:pt>
                <c:pt idx="60">
                  <c:v>-77.047410999999997</c:v>
                </c:pt>
                <c:pt idx="61">
                  <c:v>-77.047781000000001</c:v>
                </c:pt>
                <c:pt idx="62">
                  <c:v>-77.048119999999997</c:v>
                </c:pt>
                <c:pt idx="63">
                  <c:v>-77.048970999999995</c:v>
                </c:pt>
                <c:pt idx="64">
                  <c:v>-77.049632000000003</c:v>
                </c:pt>
                <c:pt idx="65">
                  <c:v>-77.049949999999995</c:v>
                </c:pt>
                <c:pt idx="66">
                  <c:v>-77.050179999999997</c:v>
                </c:pt>
                <c:pt idx="67">
                  <c:v>-77.050410999999997</c:v>
                </c:pt>
                <c:pt idx="68">
                  <c:v>-77.050593000000006</c:v>
                </c:pt>
                <c:pt idx="69">
                  <c:v>-77.050931000000006</c:v>
                </c:pt>
                <c:pt idx="70">
                  <c:v>-77.051461000000003</c:v>
                </c:pt>
                <c:pt idx="71">
                  <c:v>-77.051666999999995</c:v>
                </c:pt>
                <c:pt idx="72">
                  <c:v>-77.051685000000006</c:v>
                </c:pt>
                <c:pt idx="73">
                  <c:v>-77.051929999999999</c:v>
                </c:pt>
                <c:pt idx="74">
                  <c:v>-77.051964999999996</c:v>
                </c:pt>
                <c:pt idx="75">
                  <c:v>-77.051929999999999</c:v>
                </c:pt>
                <c:pt idx="76">
                  <c:v>-77.052193000000003</c:v>
                </c:pt>
                <c:pt idx="77">
                  <c:v>-77.053291000000002</c:v>
                </c:pt>
                <c:pt idx="78">
                  <c:v>-77.054443000000006</c:v>
                </c:pt>
                <c:pt idx="79">
                  <c:v>-77.054991999999999</c:v>
                </c:pt>
                <c:pt idx="80">
                  <c:v>-77.055289000000002</c:v>
                </c:pt>
                <c:pt idx="81">
                  <c:v>-77.055291999999994</c:v>
                </c:pt>
                <c:pt idx="82">
                  <c:v>-77.055543</c:v>
                </c:pt>
                <c:pt idx="83">
                  <c:v>-77.055833000000007</c:v>
                </c:pt>
                <c:pt idx="84">
                  <c:v>-77.057951000000003</c:v>
                </c:pt>
                <c:pt idx="85">
                  <c:v>-77.057953999999995</c:v>
                </c:pt>
                <c:pt idx="86">
                  <c:v>-77.058031999999997</c:v>
                </c:pt>
                <c:pt idx="87">
                  <c:v>-77.058173999999994</c:v>
                </c:pt>
                <c:pt idx="88">
                  <c:v>-77.058632000000003</c:v>
                </c:pt>
                <c:pt idx="89">
                  <c:v>-77.058881999999997</c:v>
                </c:pt>
                <c:pt idx="90">
                  <c:v>-77.059213</c:v>
                </c:pt>
                <c:pt idx="91">
                  <c:v>-77.059522999999999</c:v>
                </c:pt>
                <c:pt idx="92">
                  <c:v>-77.060091999999997</c:v>
                </c:pt>
                <c:pt idx="93">
                  <c:v>-77.060323999999994</c:v>
                </c:pt>
                <c:pt idx="94">
                  <c:v>-77.060305999999997</c:v>
                </c:pt>
                <c:pt idx="95">
                  <c:v>-77.060563000000002</c:v>
                </c:pt>
                <c:pt idx="96">
                  <c:v>-77.060781000000006</c:v>
                </c:pt>
                <c:pt idx="97">
                  <c:v>-77.062071000000003</c:v>
                </c:pt>
                <c:pt idx="98">
                  <c:v>-77.062303</c:v>
                </c:pt>
                <c:pt idx="99">
                  <c:v>-77.063170999999997</c:v>
                </c:pt>
                <c:pt idx="100">
                  <c:v>-77.06353</c:v>
                </c:pt>
                <c:pt idx="101">
                  <c:v>-77.064080000000004</c:v>
                </c:pt>
                <c:pt idx="102">
                  <c:v>-77.064291999999995</c:v>
                </c:pt>
                <c:pt idx="103">
                  <c:v>-77.064301</c:v>
                </c:pt>
                <c:pt idx="104">
                  <c:v>-77.064492999999999</c:v>
                </c:pt>
                <c:pt idx="105">
                  <c:v>-77.065061999999998</c:v>
                </c:pt>
                <c:pt idx="106">
                  <c:v>-77.065430000000006</c:v>
                </c:pt>
                <c:pt idx="107">
                  <c:v>-77.065813000000006</c:v>
                </c:pt>
                <c:pt idx="108">
                  <c:v>-77.066242000000003</c:v>
                </c:pt>
                <c:pt idx="109">
                  <c:v>-77.066801999999996</c:v>
                </c:pt>
                <c:pt idx="110">
                  <c:v>-77.067243000000005</c:v>
                </c:pt>
                <c:pt idx="111">
                  <c:v>-77.068190999999999</c:v>
                </c:pt>
                <c:pt idx="112">
                  <c:v>-77.068521000000004</c:v>
                </c:pt>
                <c:pt idx="113">
                  <c:v>-77.068892000000005</c:v>
                </c:pt>
                <c:pt idx="114">
                  <c:v>-77.069018</c:v>
                </c:pt>
                <c:pt idx="115">
                  <c:v>-77.068917999999996</c:v>
                </c:pt>
                <c:pt idx="116">
                  <c:v>-77.068892000000005</c:v>
                </c:pt>
                <c:pt idx="117">
                  <c:v>-77.069111000000007</c:v>
                </c:pt>
                <c:pt idx="118">
                  <c:v>-77.069721999999999</c:v>
                </c:pt>
                <c:pt idx="119">
                  <c:v>-77.069787000000005</c:v>
                </c:pt>
                <c:pt idx="120">
                  <c:v>-77.069817999999998</c:v>
                </c:pt>
                <c:pt idx="121">
                  <c:v>-77.069991999999999</c:v>
                </c:pt>
                <c:pt idx="122">
                  <c:v>-77.070192000000006</c:v>
                </c:pt>
                <c:pt idx="123">
                  <c:v>-77.070362000000003</c:v>
                </c:pt>
                <c:pt idx="124">
                  <c:v>-77.070603000000006</c:v>
                </c:pt>
                <c:pt idx="125">
                  <c:v>-77.071010000000001</c:v>
                </c:pt>
                <c:pt idx="126">
                  <c:v>-77.071911</c:v>
                </c:pt>
                <c:pt idx="127">
                  <c:v>-77.072310999999999</c:v>
                </c:pt>
                <c:pt idx="128">
                  <c:v>-77.073539999999994</c:v>
                </c:pt>
                <c:pt idx="129">
                  <c:v>-77.073763</c:v>
                </c:pt>
                <c:pt idx="130">
                  <c:v>-77.073775999999995</c:v>
                </c:pt>
                <c:pt idx="131">
                  <c:v>-77.074151000000001</c:v>
                </c:pt>
                <c:pt idx="132">
                  <c:v>-77.075123000000005</c:v>
                </c:pt>
                <c:pt idx="133">
                  <c:v>-77.075310000000002</c:v>
                </c:pt>
                <c:pt idx="134">
                  <c:v>-77.075770000000006</c:v>
                </c:pt>
                <c:pt idx="135">
                  <c:v>-77.076103000000003</c:v>
                </c:pt>
                <c:pt idx="136">
                  <c:v>-77.076351000000003</c:v>
                </c:pt>
                <c:pt idx="137">
                  <c:v>-77.076410999999993</c:v>
                </c:pt>
                <c:pt idx="138">
                  <c:v>-77.076418000000004</c:v>
                </c:pt>
                <c:pt idx="139">
                  <c:v>-77.076650999999998</c:v>
                </c:pt>
                <c:pt idx="140">
                  <c:v>-77.077089000000001</c:v>
                </c:pt>
                <c:pt idx="141">
                  <c:v>-77.077151999999998</c:v>
                </c:pt>
                <c:pt idx="142">
                  <c:v>-77.077789999999993</c:v>
                </c:pt>
                <c:pt idx="143">
                  <c:v>-77.079402000000002</c:v>
                </c:pt>
                <c:pt idx="144">
                  <c:v>-77.079800000000006</c:v>
                </c:pt>
                <c:pt idx="145">
                  <c:v>-77.080262000000005</c:v>
                </c:pt>
                <c:pt idx="146">
                  <c:v>-77.080652999999998</c:v>
                </c:pt>
                <c:pt idx="147">
                  <c:v>-77.080983000000003</c:v>
                </c:pt>
                <c:pt idx="148">
                  <c:v>-77.081401</c:v>
                </c:pt>
                <c:pt idx="149">
                  <c:v>-77.081671999999998</c:v>
                </c:pt>
                <c:pt idx="150">
                  <c:v>-77.082053000000002</c:v>
                </c:pt>
                <c:pt idx="151">
                  <c:v>-77.082361000000006</c:v>
                </c:pt>
                <c:pt idx="152">
                  <c:v>-77.082367000000005</c:v>
                </c:pt>
                <c:pt idx="153">
                  <c:v>-77.082381999999996</c:v>
                </c:pt>
                <c:pt idx="154">
                  <c:v>-77.082650999999998</c:v>
                </c:pt>
                <c:pt idx="155">
                  <c:v>-77.082841999999999</c:v>
                </c:pt>
                <c:pt idx="156">
                  <c:v>-77.083100999999999</c:v>
                </c:pt>
                <c:pt idx="157">
                  <c:v>-77.084511000000006</c:v>
                </c:pt>
                <c:pt idx="158">
                  <c:v>-77.085560000000001</c:v>
                </c:pt>
                <c:pt idx="159">
                  <c:v>-77.086462999999995</c:v>
                </c:pt>
                <c:pt idx="160">
                  <c:v>-77.087081999999995</c:v>
                </c:pt>
                <c:pt idx="161">
                  <c:v>-77.087491999999997</c:v>
                </c:pt>
                <c:pt idx="162">
                  <c:v>-77.087481999999994</c:v>
                </c:pt>
                <c:pt idx="163">
                  <c:v>-77.087743000000003</c:v>
                </c:pt>
                <c:pt idx="164">
                  <c:v>-77.088432999999995</c:v>
                </c:pt>
                <c:pt idx="165">
                  <c:v>-77.088920999999999</c:v>
                </c:pt>
                <c:pt idx="166">
                  <c:v>-77.089472000000001</c:v>
                </c:pt>
                <c:pt idx="167">
                  <c:v>-77.090973000000005</c:v>
                </c:pt>
                <c:pt idx="168">
                  <c:v>-77.090986999999998</c:v>
                </c:pt>
                <c:pt idx="169">
                  <c:v>-77.091071999999997</c:v>
                </c:pt>
                <c:pt idx="170">
                  <c:v>-77.092254999999994</c:v>
                </c:pt>
                <c:pt idx="171">
                  <c:v>-77.092258999999999</c:v>
                </c:pt>
                <c:pt idx="172">
                  <c:v>-77.092633000000006</c:v>
                </c:pt>
                <c:pt idx="173">
                  <c:v>-77.093530999999999</c:v>
                </c:pt>
                <c:pt idx="174">
                  <c:v>-77.094201999999996</c:v>
                </c:pt>
                <c:pt idx="175">
                  <c:v>-77.094190999999995</c:v>
                </c:pt>
                <c:pt idx="176">
                  <c:v>-77.094160000000002</c:v>
                </c:pt>
                <c:pt idx="177">
                  <c:v>-77.094122999999996</c:v>
                </c:pt>
                <c:pt idx="178">
                  <c:v>-77.094160000000002</c:v>
                </c:pt>
                <c:pt idx="179">
                  <c:v>-77.094190999999995</c:v>
                </c:pt>
                <c:pt idx="180">
                  <c:v>-77.094201999999996</c:v>
                </c:pt>
                <c:pt idx="181">
                  <c:v>-77.094241999999994</c:v>
                </c:pt>
                <c:pt idx="182">
                  <c:v>-77.094480000000004</c:v>
                </c:pt>
                <c:pt idx="183">
                  <c:v>-77.094909999999999</c:v>
                </c:pt>
                <c:pt idx="184">
                  <c:v>-77.095330000000004</c:v>
                </c:pt>
                <c:pt idx="185">
                  <c:v>-77.095682999999994</c:v>
                </c:pt>
                <c:pt idx="186">
                  <c:v>-77.096722</c:v>
                </c:pt>
                <c:pt idx="187">
                  <c:v>-77.096765000000005</c:v>
                </c:pt>
                <c:pt idx="188">
                  <c:v>-77.096722</c:v>
                </c:pt>
                <c:pt idx="189">
                  <c:v>-77.096211999999994</c:v>
                </c:pt>
                <c:pt idx="190">
                  <c:v>-77.096072000000007</c:v>
                </c:pt>
                <c:pt idx="191">
                  <c:v>-77.095961000000003</c:v>
                </c:pt>
                <c:pt idx="192">
                  <c:v>-77.095961000000003</c:v>
                </c:pt>
                <c:pt idx="193">
                  <c:v>-77.096011000000004</c:v>
                </c:pt>
                <c:pt idx="194">
                  <c:v>-77.096063000000001</c:v>
                </c:pt>
                <c:pt idx="195">
                  <c:v>-77.096058999999997</c:v>
                </c:pt>
                <c:pt idx="196">
                  <c:v>-77.096063000000001</c:v>
                </c:pt>
                <c:pt idx="197">
                  <c:v>-77.095093000000006</c:v>
                </c:pt>
                <c:pt idx="198">
                  <c:v>-77.095089000000002</c:v>
                </c:pt>
                <c:pt idx="199">
                  <c:v>-77.095050000000001</c:v>
                </c:pt>
                <c:pt idx="200">
                  <c:v>-77.095209999999994</c:v>
                </c:pt>
                <c:pt idx="201">
                  <c:v>-77.095330000000004</c:v>
                </c:pt>
                <c:pt idx="202">
                  <c:v>-77.095470000000006</c:v>
                </c:pt>
                <c:pt idx="203">
                  <c:v>-77.095399</c:v>
                </c:pt>
                <c:pt idx="204">
                  <c:v>-77.095543000000006</c:v>
                </c:pt>
                <c:pt idx="205">
                  <c:v>-77.095633000000007</c:v>
                </c:pt>
                <c:pt idx="206">
                  <c:v>-77.095681999999996</c:v>
                </c:pt>
                <c:pt idx="207">
                  <c:v>-77.095692999999997</c:v>
                </c:pt>
                <c:pt idx="208">
                  <c:v>-77.095716999999993</c:v>
                </c:pt>
                <c:pt idx="209">
                  <c:v>-77.095843000000002</c:v>
                </c:pt>
                <c:pt idx="210">
                  <c:v>-77.096012000000002</c:v>
                </c:pt>
                <c:pt idx="211">
                  <c:v>-77.096031999999994</c:v>
                </c:pt>
                <c:pt idx="212">
                  <c:v>-77.096171999999996</c:v>
                </c:pt>
                <c:pt idx="213">
                  <c:v>-77.096207000000007</c:v>
                </c:pt>
                <c:pt idx="214">
                  <c:v>-77.096340999999995</c:v>
                </c:pt>
                <c:pt idx="215">
                  <c:v>-77.096361000000002</c:v>
                </c:pt>
                <c:pt idx="216">
                  <c:v>-77.096352999999993</c:v>
                </c:pt>
                <c:pt idx="217">
                  <c:v>-77.096423000000001</c:v>
                </c:pt>
                <c:pt idx="218">
                  <c:v>-77.096442999999994</c:v>
                </c:pt>
                <c:pt idx="219">
                  <c:v>-77.096472000000006</c:v>
                </c:pt>
                <c:pt idx="220">
                  <c:v>-77.096570999999997</c:v>
                </c:pt>
                <c:pt idx="221">
                  <c:v>-77.096632999999997</c:v>
                </c:pt>
                <c:pt idx="222">
                  <c:v>-77.096632</c:v>
                </c:pt>
                <c:pt idx="223">
                  <c:v>-77.096661999999995</c:v>
                </c:pt>
                <c:pt idx="224">
                  <c:v>-77.096891999999997</c:v>
                </c:pt>
                <c:pt idx="225">
                  <c:v>-77.096895000000004</c:v>
                </c:pt>
                <c:pt idx="226">
                  <c:v>-77.096891999999997</c:v>
                </c:pt>
                <c:pt idx="227">
                  <c:v>-77.096991000000003</c:v>
                </c:pt>
                <c:pt idx="228">
                  <c:v>-77.097042999999999</c:v>
                </c:pt>
                <c:pt idx="229">
                  <c:v>-77.097070000000002</c:v>
                </c:pt>
                <c:pt idx="230">
                  <c:v>-77.097121000000001</c:v>
                </c:pt>
                <c:pt idx="231">
                  <c:v>-77.097301000000002</c:v>
                </c:pt>
                <c:pt idx="232">
                  <c:v>-77.097481999999999</c:v>
                </c:pt>
                <c:pt idx="233">
                  <c:v>-77.097532999999999</c:v>
                </c:pt>
                <c:pt idx="234">
                  <c:v>-77.097551999999993</c:v>
                </c:pt>
                <c:pt idx="235">
                  <c:v>-77.098533000000003</c:v>
                </c:pt>
                <c:pt idx="236">
                  <c:v>-77.098533000000003</c:v>
                </c:pt>
                <c:pt idx="237">
                  <c:v>-77.098572000000004</c:v>
                </c:pt>
                <c:pt idx="238">
                  <c:v>-77.09881</c:v>
                </c:pt>
                <c:pt idx="239">
                  <c:v>-77.098842000000005</c:v>
                </c:pt>
                <c:pt idx="240">
                  <c:v>-77.099500000000006</c:v>
                </c:pt>
                <c:pt idx="241">
                  <c:v>-77.099970999999996</c:v>
                </c:pt>
                <c:pt idx="242">
                  <c:v>-77.100165000000004</c:v>
                </c:pt>
                <c:pt idx="243">
                  <c:v>-77.100182000000004</c:v>
                </c:pt>
                <c:pt idx="244">
                  <c:v>-77.100363000000002</c:v>
                </c:pt>
                <c:pt idx="245">
                  <c:v>-77.100921</c:v>
                </c:pt>
                <c:pt idx="246">
                  <c:v>-77.101552999999996</c:v>
                </c:pt>
                <c:pt idx="247">
                  <c:v>-77.102051000000003</c:v>
                </c:pt>
                <c:pt idx="248">
                  <c:v>-77.102591000000004</c:v>
                </c:pt>
                <c:pt idx="249">
                  <c:v>-77.102637000000001</c:v>
                </c:pt>
                <c:pt idx="250">
                  <c:v>-77.102497999999997</c:v>
                </c:pt>
                <c:pt idx="251">
                  <c:v>-77.102591000000004</c:v>
                </c:pt>
                <c:pt idx="252">
                  <c:v>-77.104437000000004</c:v>
                </c:pt>
                <c:pt idx="253">
                  <c:v>-77.104443000000003</c:v>
                </c:pt>
                <c:pt idx="254">
                  <c:v>-77.104609999999994</c:v>
                </c:pt>
                <c:pt idx="255">
                  <c:v>-77.105873000000003</c:v>
                </c:pt>
                <c:pt idx="256">
                  <c:v>-77.106272000000004</c:v>
                </c:pt>
                <c:pt idx="257">
                  <c:v>-77.106550999999996</c:v>
                </c:pt>
                <c:pt idx="258">
                  <c:v>-77.106831</c:v>
                </c:pt>
                <c:pt idx="259">
                  <c:v>-77.107132000000007</c:v>
                </c:pt>
                <c:pt idx="260">
                  <c:v>-77.107681999999997</c:v>
                </c:pt>
                <c:pt idx="261">
                  <c:v>-77.108031999999994</c:v>
                </c:pt>
                <c:pt idx="262">
                  <c:v>-77.108452999999997</c:v>
                </c:pt>
                <c:pt idx="263">
                  <c:v>-77.109261000000004</c:v>
                </c:pt>
                <c:pt idx="264">
                  <c:v>-77.110579999999999</c:v>
                </c:pt>
                <c:pt idx="265">
                  <c:v>-77.110401999999993</c:v>
                </c:pt>
                <c:pt idx="266">
                  <c:v>-77.110181999999995</c:v>
                </c:pt>
                <c:pt idx="267">
                  <c:v>-77.109909999999999</c:v>
                </c:pt>
                <c:pt idx="268">
                  <c:v>-77.110073</c:v>
                </c:pt>
                <c:pt idx="269">
                  <c:v>-77.110161000000005</c:v>
                </c:pt>
                <c:pt idx="270">
                  <c:v>-77.110242</c:v>
                </c:pt>
                <c:pt idx="271">
                  <c:v>-77.110341000000005</c:v>
                </c:pt>
                <c:pt idx="272">
                  <c:v>-77.110523000000001</c:v>
                </c:pt>
                <c:pt idx="273">
                  <c:v>-77.110731999999999</c:v>
                </c:pt>
                <c:pt idx="274">
                  <c:v>-77.110753000000003</c:v>
                </c:pt>
                <c:pt idx="275">
                  <c:v>-77.110724000000005</c:v>
                </c:pt>
                <c:pt idx="276">
                  <c:v>-77.097226000000006</c:v>
                </c:pt>
                <c:pt idx="277">
                  <c:v>-77.097031000000001</c:v>
                </c:pt>
                <c:pt idx="278">
                  <c:v>-77.097031000000001</c:v>
                </c:pt>
                <c:pt idx="279">
                  <c:v>-77.098510000000005</c:v>
                </c:pt>
                <c:pt idx="280">
                  <c:v>-77.098513999999994</c:v>
                </c:pt>
                <c:pt idx="281">
                  <c:v>-77.101104000000007</c:v>
                </c:pt>
                <c:pt idx="282">
                  <c:v>-77.101930999999993</c:v>
                </c:pt>
                <c:pt idx="283">
                  <c:v>-77.102160999999995</c:v>
                </c:pt>
                <c:pt idx="284">
                  <c:v>-77.102312999999995</c:v>
                </c:pt>
                <c:pt idx="285">
                  <c:v>-77.102452</c:v>
                </c:pt>
                <c:pt idx="286">
                  <c:v>-77.102530999999999</c:v>
                </c:pt>
                <c:pt idx="287">
                  <c:v>-77.102583999999993</c:v>
                </c:pt>
                <c:pt idx="288">
                  <c:v>-77.102530999999999</c:v>
                </c:pt>
                <c:pt idx="289">
                  <c:v>-77.103149999999999</c:v>
                </c:pt>
                <c:pt idx="290">
                  <c:v>-77.103290999999999</c:v>
                </c:pt>
                <c:pt idx="291">
                  <c:v>-77.103521000000001</c:v>
                </c:pt>
                <c:pt idx="292">
                  <c:v>-77.103527999999997</c:v>
                </c:pt>
                <c:pt idx="293">
                  <c:v>-77.104381000000004</c:v>
                </c:pt>
                <c:pt idx="294">
                  <c:v>-77.104836000000006</c:v>
                </c:pt>
                <c:pt idx="295">
                  <c:v>-77.104800999999995</c:v>
                </c:pt>
                <c:pt idx="296">
                  <c:v>-77.104940999999997</c:v>
                </c:pt>
                <c:pt idx="297">
                  <c:v>-77.105532999999994</c:v>
                </c:pt>
                <c:pt idx="298">
                  <c:v>-77.105881999999994</c:v>
                </c:pt>
                <c:pt idx="299">
                  <c:v>-77.106221000000005</c:v>
                </c:pt>
                <c:pt idx="300">
                  <c:v>-77.106267000000003</c:v>
                </c:pt>
                <c:pt idx="301">
                  <c:v>-77.106288000000006</c:v>
                </c:pt>
                <c:pt idx="302">
                  <c:v>-77.107043000000004</c:v>
                </c:pt>
                <c:pt idx="303">
                  <c:v>-77.107552999999996</c:v>
                </c:pt>
                <c:pt idx="304">
                  <c:v>-77.107671999999994</c:v>
                </c:pt>
                <c:pt idx="305">
                  <c:v>-77.107716999999994</c:v>
                </c:pt>
                <c:pt idx="306">
                  <c:v>-77.107737999999998</c:v>
                </c:pt>
                <c:pt idx="307">
                  <c:v>-77.107761999999994</c:v>
                </c:pt>
                <c:pt idx="308">
                  <c:v>-77.108092999999997</c:v>
                </c:pt>
                <c:pt idx="309">
                  <c:v>-77.108221</c:v>
                </c:pt>
                <c:pt idx="310">
                  <c:v>-77.108393000000007</c:v>
                </c:pt>
                <c:pt idx="311">
                  <c:v>-77.108661999999995</c:v>
                </c:pt>
                <c:pt idx="312">
                  <c:v>-77.108772999999999</c:v>
                </c:pt>
                <c:pt idx="313">
                  <c:v>-77.108823000000001</c:v>
                </c:pt>
                <c:pt idx="314">
                  <c:v>-77.108825999999993</c:v>
                </c:pt>
                <c:pt idx="315">
                  <c:v>-77.108772999999999</c:v>
                </c:pt>
                <c:pt idx="316">
                  <c:v>-77.108992999999998</c:v>
                </c:pt>
                <c:pt idx="317">
                  <c:v>-77.109100999999995</c:v>
                </c:pt>
                <c:pt idx="318">
                  <c:v>-77.109076000000002</c:v>
                </c:pt>
                <c:pt idx="319">
                  <c:v>-77.109100999999995</c:v>
                </c:pt>
                <c:pt idx="320">
                  <c:v>-77.109352000000001</c:v>
                </c:pt>
                <c:pt idx="321">
                  <c:v>-77.109319999999997</c:v>
                </c:pt>
                <c:pt idx="322">
                  <c:v>-77.109352000000001</c:v>
                </c:pt>
                <c:pt idx="323">
                  <c:v>-77.109522999999996</c:v>
                </c:pt>
                <c:pt idx="324">
                  <c:v>-77.109630999999993</c:v>
                </c:pt>
                <c:pt idx="325">
                  <c:v>-77.109851000000006</c:v>
                </c:pt>
                <c:pt idx="326">
                  <c:v>-77.109913000000006</c:v>
                </c:pt>
                <c:pt idx="327">
                  <c:v>-77.109971999999999</c:v>
                </c:pt>
                <c:pt idx="328">
                  <c:v>-77.110073</c:v>
                </c:pt>
                <c:pt idx="329">
                  <c:v>-77.110161000000005</c:v>
                </c:pt>
                <c:pt idx="330">
                  <c:v>-77.110242</c:v>
                </c:pt>
                <c:pt idx="331">
                  <c:v>-77.110341000000005</c:v>
                </c:pt>
                <c:pt idx="332">
                  <c:v>-77.110322999999994</c:v>
                </c:pt>
                <c:pt idx="333">
                  <c:v>-77.110341000000005</c:v>
                </c:pt>
                <c:pt idx="334">
                  <c:v>-77.110242</c:v>
                </c:pt>
                <c:pt idx="335">
                  <c:v>-77.110161000000005</c:v>
                </c:pt>
                <c:pt idx="336">
                  <c:v>-77.110073</c:v>
                </c:pt>
                <c:pt idx="337">
                  <c:v>-77.109909999999999</c:v>
                </c:pt>
                <c:pt idx="338">
                  <c:v>-77.110181999999995</c:v>
                </c:pt>
                <c:pt idx="339">
                  <c:v>-77.110401999999993</c:v>
                </c:pt>
                <c:pt idx="340">
                  <c:v>-77.110579999999999</c:v>
                </c:pt>
                <c:pt idx="341">
                  <c:v>-77.110720999999998</c:v>
                </c:pt>
                <c:pt idx="342">
                  <c:v>-77.110917000000001</c:v>
                </c:pt>
                <c:pt idx="343">
                  <c:v>-77.110889</c:v>
                </c:pt>
                <c:pt idx="344">
                  <c:v>-77.110992999999993</c:v>
                </c:pt>
                <c:pt idx="345">
                  <c:v>-77.111700999999996</c:v>
                </c:pt>
                <c:pt idx="346">
                  <c:v>-77.111795999999998</c:v>
                </c:pt>
                <c:pt idx="347">
                  <c:v>-77.111813999999995</c:v>
                </c:pt>
                <c:pt idx="348">
                  <c:v>-77.111832000000007</c:v>
                </c:pt>
                <c:pt idx="349">
                  <c:v>-77.112060999999997</c:v>
                </c:pt>
                <c:pt idx="350">
                  <c:v>-77.112420999999998</c:v>
                </c:pt>
                <c:pt idx="351">
                  <c:v>-77.112900999999994</c:v>
                </c:pt>
                <c:pt idx="352">
                  <c:v>-77.113540999999998</c:v>
                </c:pt>
                <c:pt idx="353">
                  <c:v>-77.113589000000005</c:v>
                </c:pt>
                <c:pt idx="354">
                  <c:v>-77.11354</c:v>
                </c:pt>
                <c:pt idx="355">
                  <c:v>-77.114841999999996</c:v>
                </c:pt>
                <c:pt idx="356">
                  <c:v>-77.114721000000003</c:v>
                </c:pt>
                <c:pt idx="357">
                  <c:v>-77.114766000000003</c:v>
                </c:pt>
                <c:pt idx="358">
                  <c:v>-77.114818999999997</c:v>
                </c:pt>
                <c:pt idx="359">
                  <c:v>-77.115333000000007</c:v>
                </c:pt>
                <c:pt idx="360">
                  <c:v>-77.116270999999998</c:v>
                </c:pt>
                <c:pt idx="361">
                  <c:v>-77.116721999999996</c:v>
                </c:pt>
                <c:pt idx="362">
                  <c:v>-77.117135000000005</c:v>
                </c:pt>
                <c:pt idx="363">
                  <c:v>-77.117205999999996</c:v>
                </c:pt>
                <c:pt idx="364">
                  <c:v>-77.117200999999994</c:v>
                </c:pt>
                <c:pt idx="365">
                  <c:v>-77.117655999999997</c:v>
                </c:pt>
                <c:pt idx="366">
                  <c:v>-77.117609999999999</c:v>
                </c:pt>
                <c:pt idx="367">
                  <c:v>-77.118042000000003</c:v>
                </c:pt>
                <c:pt idx="368">
                  <c:v>-77.118260000000006</c:v>
                </c:pt>
                <c:pt idx="369">
                  <c:v>-77.118449999999996</c:v>
                </c:pt>
                <c:pt idx="370">
                  <c:v>-77.118630999999993</c:v>
                </c:pt>
                <c:pt idx="371">
                  <c:v>-77.118730999999997</c:v>
                </c:pt>
                <c:pt idx="372">
                  <c:v>-77.119021000000004</c:v>
                </c:pt>
                <c:pt idx="373">
                  <c:v>-77.119094000000004</c:v>
                </c:pt>
                <c:pt idx="374">
                  <c:v>-77.119532000000007</c:v>
                </c:pt>
                <c:pt idx="375">
                  <c:v>-77.119749999999996</c:v>
                </c:pt>
                <c:pt idx="376">
                  <c:v>-77.119692999999998</c:v>
                </c:pt>
                <c:pt idx="377">
                  <c:v>-77.119843000000003</c:v>
                </c:pt>
                <c:pt idx="378">
                  <c:v>-77.120091000000002</c:v>
                </c:pt>
                <c:pt idx="379">
                  <c:v>-77.120450000000005</c:v>
                </c:pt>
                <c:pt idx="380">
                  <c:v>-77.120502000000002</c:v>
                </c:pt>
                <c:pt idx="381">
                  <c:v>-77.120562000000007</c:v>
                </c:pt>
                <c:pt idx="382">
                  <c:v>-77.120740999999995</c:v>
                </c:pt>
                <c:pt idx="383">
                  <c:v>-77.121256000000002</c:v>
                </c:pt>
                <c:pt idx="384">
                  <c:v>-77.121334000000004</c:v>
                </c:pt>
                <c:pt idx="385">
                  <c:v>-77.121342999999996</c:v>
                </c:pt>
                <c:pt idx="386">
                  <c:v>-77.121962999999994</c:v>
                </c:pt>
                <c:pt idx="387">
                  <c:v>-77.122067000000001</c:v>
                </c:pt>
                <c:pt idx="388">
                  <c:v>-77.122011000000001</c:v>
                </c:pt>
                <c:pt idx="389">
                  <c:v>-77.122230000000002</c:v>
                </c:pt>
                <c:pt idx="390">
                  <c:v>-77.122919999999993</c:v>
                </c:pt>
                <c:pt idx="391">
                  <c:v>-77.123429999999999</c:v>
                </c:pt>
                <c:pt idx="392">
                  <c:v>-77.123475999999997</c:v>
                </c:pt>
                <c:pt idx="393">
                  <c:v>-77.123490000000004</c:v>
                </c:pt>
                <c:pt idx="394">
                  <c:v>-77.123429999999999</c:v>
                </c:pt>
                <c:pt idx="395">
                  <c:v>-77.124172000000002</c:v>
                </c:pt>
                <c:pt idx="396">
                  <c:v>-77.124612999999997</c:v>
                </c:pt>
                <c:pt idx="397">
                  <c:v>-77.125133000000005</c:v>
                </c:pt>
                <c:pt idx="398">
                  <c:v>-77.125232999999994</c:v>
                </c:pt>
                <c:pt idx="399">
                  <c:v>-77.125317999999993</c:v>
                </c:pt>
                <c:pt idx="400">
                  <c:v>-77.125287</c:v>
                </c:pt>
                <c:pt idx="401">
                  <c:v>-77.125421000000003</c:v>
                </c:pt>
                <c:pt idx="402">
                  <c:v>-77.125397000000007</c:v>
                </c:pt>
                <c:pt idx="403">
                  <c:v>-77.125421000000003</c:v>
                </c:pt>
                <c:pt idx="404">
                  <c:v>-77.126302999999993</c:v>
                </c:pt>
                <c:pt idx="405">
                  <c:v>-77.127221000000006</c:v>
                </c:pt>
                <c:pt idx="406">
                  <c:v>-77.127830000000003</c:v>
                </c:pt>
                <c:pt idx="407">
                  <c:v>-77.128371999999999</c:v>
                </c:pt>
                <c:pt idx="408">
                  <c:v>-77.128358000000006</c:v>
                </c:pt>
                <c:pt idx="409">
                  <c:v>-77.128532000000007</c:v>
                </c:pt>
                <c:pt idx="410">
                  <c:v>-77.129013</c:v>
                </c:pt>
                <c:pt idx="411">
                  <c:v>-77.129599999999996</c:v>
                </c:pt>
                <c:pt idx="412">
                  <c:v>-77.130661000000003</c:v>
                </c:pt>
                <c:pt idx="413">
                  <c:v>-77.130432999999996</c:v>
                </c:pt>
                <c:pt idx="414">
                  <c:v>-77.130280999999997</c:v>
                </c:pt>
                <c:pt idx="415">
                  <c:v>-77.130270999999993</c:v>
                </c:pt>
                <c:pt idx="416">
                  <c:v>-77.130432999999996</c:v>
                </c:pt>
                <c:pt idx="417">
                  <c:v>-77.130661000000003</c:v>
                </c:pt>
                <c:pt idx="418">
                  <c:v>-77.131471000000005</c:v>
                </c:pt>
                <c:pt idx="419">
                  <c:v>-77.131901999999997</c:v>
                </c:pt>
                <c:pt idx="420">
                  <c:v>-77.132231000000004</c:v>
                </c:pt>
                <c:pt idx="421">
                  <c:v>-77.132351</c:v>
                </c:pt>
                <c:pt idx="422">
                  <c:v>-77.132733000000002</c:v>
                </c:pt>
                <c:pt idx="423">
                  <c:v>-77.133211000000003</c:v>
                </c:pt>
                <c:pt idx="424">
                  <c:v>-77.134379999999993</c:v>
                </c:pt>
                <c:pt idx="425">
                  <c:v>-77.134883000000002</c:v>
                </c:pt>
                <c:pt idx="426">
                  <c:v>-77.134951000000001</c:v>
                </c:pt>
                <c:pt idx="427">
                  <c:v>-77.134883000000002</c:v>
                </c:pt>
                <c:pt idx="428">
                  <c:v>-77.135031999999995</c:v>
                </c:pt>
                <c:pt idx="429">
                  <c:v>-77.135221999999999</c:v>
                </c:pt>
                <c:pt idx="430">
                  <c:v>-77.135340999999997</c:v>
                </c:pt>
                <c:pt idx="431">
                  <c:v>-77.135506000000007</c:v>
                </c:pt>
                <c:pt idx="432">
                  <c:v>-77.135613000000006</c:v>
                </c:pt>
                <c:pt idx="433">
                  <c:v>-77.135740999999996</c:v>
                </c:pt>
                <c:pt idx="434">
                  <c:v>-77.136050999999995</c:v>
                </c:pt>
                <c:pt idx="435">
                  <c:v>-77.136719999999997</c:v>
                </c:pt>
                <c:pt idx="436">
                  <c:v>-77.136810999999994</c:v>
                </c:pt>
                <c:pt idx="437">
                  <c:v>-77.136849999999995</c:v>
                </c:pt>
                <c:pt idx="438">
                  <c:v>-77.136893000000001</c:v>
                </c:pt>
                <c:pt idx="439">
                  <c:v>-77.137360999999999</c:v>
                </c:pt>
                <c:pt idx="440">
                  <c:v>-77.137477000000004</c:v>
                </c:pt>
                <c:pt idx="441">
                  <c:v>-77.137663000000003</c:v>
                </c:pt>
                <c:pt idx="442">
                  <c:v>-77.138192000000004</c:v>
                </c:pt>
                <c:pt idx="443">
                  <c:v>-77.138480000000001</c:v>
                </c:pt>
                <c:pt idx="444">
                  <c:v>-77.139000999999993</c:v>
                </c:pt>
                <c:pt idx="445">
                  <c:v>-77.139140999999995</c:v>
                </c:pt>
                <c:pt idx="446">
                  <c:v>-77.139493000000002</c:v>
                </c:pt>
                <c:pt idx="447">
                  <c:v>-77.139993000000004</c:v>
                </c:pt>
                <c:pt idx="448">
                  <c:v>-77.140722999999994</c:v>
                </c:pt>
                <c:pt idx="449">
                  <c:v>-77.141323</c:v>
                </c:pt>
                <c:pt idx="450">
                  <c:v>-77.141574000000006</c:v>
                </c:pt>
                <c:pt idx="451">
                  <c:v>-77.141711999999998</c:v>
                </c:pt>
                <c:pt idx="452">
                  <c:v>-77.141863000000001</c:v>
                </c:pt>
                <c:pt idx="453">
                  <c:v>-77.142960000000002</c:v>
                </c:pt>
                <c:pt idx="454">
                  <c:v>-77.143983000000006</c:v>
                </c:pt>
                <c:pt idx="455">
                  <c:v>-77.144001000000003</c:v>
                </c:pt>
                <c:pt idx="456">
                  <c:v>-77.143983000000006</c:v>
                </c:pt>
                <c:pt idx="457">
                  <c:v>-77.144692000000006</c:v>
                </c:pt>
                <c:pt idx="458">
                  <c:v>-77.145572000000001</c:v>
                </c:pt>
                <c:pt idx="459">
                  <c:v>-77.145923999999994</c:v>
                </c:pt>
                <c:pt idx="460">
                  <c:v>-77.146062000000001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585000"/>
        <c:axId val="681585392"/>
      </c:scatterChart>
      <c:valAx>
        <c:axId val="68158500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81585392"/>
        <c:crosses val="autoZero"/>
        <c:crossBetween val="midCat"/>
        <c:majorUnit val="1.0000000000000002E-2"/>
      </c:valAx>
      <c:valAx>
        <c:axId val="681585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1585000"/>
        <c:crosses val="autoZero"/>
        <c:crossBetween val="midCat"/>
        <c:majorUnit val="1.0000000000000002E-2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937910809175668"/>
          <c:y val="0.10282299583145031"/>
          <c:w val="0.69599360624541717"/>
          <c:h val="0.86793846908589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Limits!$C$517</c:f>
              <c:strCache>
                <c:ptCount val="1"/>
                <c:pt idx="0">
                  <c:v>1129</c:v>
                </c:pt>
              </c:strCache>
            </c:strRef>
          </c:tx>
          <c:xVal>
            <c:numRef>
              <c:f>Limits!$D$517:$D$970</c:f>
              <c:numCache>
                <c:formatCode>General</c:formatCode>
                <c:ptCount val="454"/>
                <c:pt idx="0">
                  <c:v>38.994365000000002</c:v>
                </c:pt>
                <c:pt idx="1">
                  <c:v>38.994498999999998</c:v>
                </c:pt>
                <c:pt idx="2">
                  <c:v>38.994498999999998</c:v>
                </c:pt>
                <c:pt idx="3">
                  <c:v>38.994669000000002</c:v>
                </c:pt>
                <c:pt idx="4">
                  <c:v>38.994498999999998</c:v>
                </c:pt>
                <c:pt idx="5">
                  <c:v>38.994506999999999</c:v>
                </c:pt>
                <c:pt idx="6">
                  <c:v>38.994529</c:v>
                </c:pt>
                <c:pt idx="7">
                  <c:v>38.994590000000002</c:v>
                </c:pt>
                <c:pt idx="8">
                  <c:v>38.994779000000001</c:v>
                </c:pt>
                <c:pt idx="9">
                  <c:v>38.994365000000002</c:v>
                </c:pt>
                <c:pt idx="10">
                  <c:v>38.994472000000002</c:v>
                </c:pt>
                <c:pt idx="11">
                  <c:v>38.994079999999997</c:v>
                </c:pt>
                <c:pt idx="12">
                  <c:v>38.993597999999999</c:v>
                </c:pt>
                <c:pt idx="13">
                  <c:v>38.993929000000001</c:v>
                </c:pt>
                <c:pt idx="14">
                  <c:v>38.994137000000002</c:v>
                </c:pt>
                <c:pt idx="15">
                  <c:v>38.994239</c:v>
                </c:pt>
                <c:pt idx="16">
                  <c:v>38.994315999999998</c:v>
                </c:pt>
                <c:pt idx="17">
                  <c:v>38.994280000000003</c:v>
                </c:pt>
                <c:pt idx="18">
                  <c:v>38.994368000000001</c:v>
                </c:pt>
                <c:pt idx="19">
                  <c:v>38.994439</c:v>
                </c:pt>
                <c:pt idx="20">
                  <c:v>38.994498999999998</c:v>
                </c:pt>
                <c:pt idx="21">
                  <c:v>38.994490999999996</c:v>
                </c:pt>
                <c:pt idx="22">
                  <c:v>38.994579000000002</c:v>
                </c:pt>
                <c:pt idx="23">
                  <c:v>38.994487999999997</c:v>
                </c:pt>
                <c:pt idx="24">
                  <c:v>38.994517999999999</c:v>
                </c:pt>
                <c:pt idx="25">
                  <c:v>38.994517999999999</c:v>
                </c:pt>
                <c:pt idx="26">
                  <c:v>38.994568000000001</c:v>
                </c:pt>
                <c:pt idx="27">
                  <c:v>38.994608999999997</c:v>
                </c:pt>
                <c:pt idx="28">
                  <c:v>38.994698999999997</c:v>
                </c:pt>
                <c:pt idx="29">
                  <c:v>38.994869000000001</c:v>
                </c:pt>
                <c:pt idx="30">
                  <c:v>38.995049999999999</c:v>
                </c:pt>
                <c:pt idx="31">
                  <c:v>38.995249999999999</c:v>
                </c:pt>
                <c:pt idx="32">
                  <c:v>38.995308000000001</c:v>
                </c:pt>
                <c:pt idx="33">
                  <c:v>38.995477000000001</c:v>
                </c:pt>
                <c:pt idx="34">
                  <c:v>38.995708</c:v>
                </c:pt>
                <c:pt idx="35">
                  <c:v>38.995899000000001</c:v>
                </c:pt>
                <c:pt idx="36">
                  <c:v>38.996057999999998</c:v>
                </c:pt>
                <c:pt idx="37">
                  <c:v>38.996130000000001</c:v>
                </c:pt>
                <c:pt idx="38">
                  <c:v>38.996149000000003</c:v>
                </c:pt>
                <c:pt idx="39">
                  <c:v>38.996160000000003</c:v>
                </c:pt>
                <c:pt idx="40">
                  <c:v>38.996149000000003</c:v>
                </c:pt>
                <c:pt idx="41">
                  <c:v>38.996124000000002</c:v>
                </c:pt>
                <c:pt idx="42">
                  <c:v>38.996172999999999</c:v>
                </c:pt>
                <c:pt idx="43">
                  <c:v>38.996108</c:v>
                </c:pt>
                <c:pt idx="44">
                  <c:v>38.996017000000002</c:v>
                </c:pt>
                <c:pt idx="45">
                  <c:v>38.995838999999997</c:v>
                </c:pt>
                <c:pt idx="46">
                  <c:v>38.995593</c:v>
                </c:pt>
                <c:pt idx="47">
                  <c:v>38.995671999999999</c:v>
                </c:pt>
                <c:pt idx="48">
                  <c:v>38.995519000000002</c:v>
                </c:pt>
                <c:pt idx="49">
                  <c:v>38.994906999999998</c:v>
                </c:pt>
                <c:pt idx="50">
                  <c:v>38.994827999999998</c:v>
                </c:pt>
                <c:pt idx="51">
                  <c:v>38.994768000000001</c:v>
                </c:pt>
                <c:pt idx="52">
                  <c:v>38.994737999999998</c:v>
                </c:pt>
                <c:pt idx="53">
                  <c:v>38.994706999999998</c:v>
                </c:pt>
                <c:pt idx="54">
                  <c:v>38.994729</c:v>
                </c:pt>
                <c:pt idx="55">
                  <c:v>38.994888000000003</c:v>
                </c:pt>
                <c:pt idx="56">
                  <c:v>38.994968</c:v>
                </c:pt>
                <c:pt idx="57">
                  <c:v>38.994937999999998</c:v>
                </c:pt>
                <c:pt idx="58">
                  <c:v>38.995190000000001</c:v>
                </c:pt>
                <c:pt idx="59">
                  <c:v>38.995246999999999</c:v>
                </c:pt>
                <c:pt idx="60">
                  <c:v>38.995277000000002</c:v>
                </c:pt>
                <c:pt idx="61">
                  <c:v>38.995277000000002</c:v>
                </c:pt>
                <c:pt idx="62">
                  <c:v>38.995258</c:v>
                </c:pt>
                <c:pt idx="63">
                  <c:v>38.995159999999998</c:v>
                </c:pt>
                <c:pt idx="64">
                  <c:v>38.995058</c:v>
                </c:pt>
                <c:pt idx="65">
                  <c:v>38.994979000000001</c:v>
                </c:pt>
                <c:pt idx="66">
                  <c:v>38.994898999999997</c:v>
                </c:pt>
                <c:pt idx="67">
                  <c:v>38.994779000000001</c:v>
                </c:pt>
                <c:pt idx="68">
                  <c:v>38.994669000000002</c:v>
                </c:pt>
                <c:pt idx="69">
                  <c:v>38.994439</c:v>
                </c:pt>
                <c:pt idx="70">
                  <c:v>38.994058000000003</c:v>
                </c:pt>
                <c:pt idx="71">
                  <c:v>38.993926000000002</c:v>
                </c:pt>
                <c:pt idx="72">
                  <c:v>38.993948000000003</c:v>
                </c:pt>
                <c:pt idx="73">
                  <c:v>38.993758999999997</c:v>
                </c:pt>
                <c:pt idx="74">
                  <c:v>38.993783999999998</c:v>
                </c:pt>
                <c:pt idx="75">
                  <c:v>38.993758999999997</c:v>
                </c:pt>
                <c:pt idx="76">
                  <c:v>38.993639000000002</c:v>
                </c:pt>
                <c:pt idx="77">
                  <c:v>38.993228000000002</c:v>
                </c:pt>
                <c:pt idx="78">
                  <c:v>38.992818999999997</c:v>
                </c:pt>
                <c:pt idx="79">
                  <c:v>38.992638999999997</c:v>
                </c:pt>
                <c:pt idx="80">
                  <c:v>38.992567000000001</c:v>
                </c:pt>
                <c:pt idx="81">
                  <c:v>38.992584000000001</c:v>
                </c:pt>
                <c:pt idx="82">
                  <c:v>38.992510000000003</c:v>
                </c:pt>
                <c:pt idx="83">
                  <c:v>38.992438</c:v>
                </c:pt>
                <c:pt idx="84">
                  <c:v>38.992263000000001</c:v>
                </c:pt>
                <c:pt idx="85">
                  <c:v>38.992292999999997</c:v>
                </c:pt>
                <c:pt idx="86">
                  <c:v>38.992258</c:v>
                </c:pt>
                <c:pt idx="87">
                  <c:v>38.992249000000001</c:v>
                </c:pt>
                <c:pt idx="88">
                  <c:v>38.992249000000001</c:v>
                </c:pt>
                <c:pt idx="89">
                  <c:v>38.992258</c:v>
                </c:pt>
                <c:pt idx="90">
                  <c:v>38.992288000000002</c:v>
                </c:pt>
                <c:pt idx="91">
                  <c:v>38.992339999999999</c:v>
                </c:pt>
                <c:pt idx="92">
                  <c:v>38.992449000000001</c:v>
                </c:pt>
                <c:pt idx="93">
                  <c:v>38.992502000000002</c:v>
                </c:pt>
                <c:pt idx="94">
                  <c:v>38.992547999999999</c:v>
                </c:pt>
                <c:pt idx="95">
                  <c:v>38.992559</c:v>
                </c:pt>
                <c:pt idx="96">
                  <c:v>38.992597000000004</c:v>
                </c:pt>
                <c:pt idx="97">
                  <c:v>38.992910000000002</c:v>
                </c:pt>
                <c:pt idx="98">
                  <c:v>38.992958999999999</c:v>
                </c:pt>
                <c:pt idx="99">
                  <c:v>38.993167</c:v>
                </c:pt>
                <c:pt idx="100">
                  <c:v>38.993228000000002</c:v>
                </c:pt>
                <c:pt idx="101">
                  <c:v>38.993239000000003</c:v>
                </c:pt>
                <c:pt idx="102">
                  <c:v>38.993222000000003</c:v>
                </c:pt>
                <c:pt idx="103">
                  <c:v>38.993326000000003</c:v>
                </c:pt>
                <c:pt idx="104">
                  <c:v>38.993209</c:v>
                </c:pt>
                <c:pt idx="105">
                  <c:v>38.993088</c:v>
                </c:pt>
                <c:pt idx="106">
                  <c:v>38.992998</c:v>
                </c:pt>
                <c:pt idx="107">
                  <c:v>38.992868999999999</c:v>
                </c:pt>
                <c:pt idx="108">
                  <c:v>38.992688000000001</c:v>
                </c:pt>
                <c:pt idx="109">
                  <c:v>38.992407999999998</c:v>
                </c:pt>
                <c:pt idx="110">
                  <c:v>38.992159000000001</c:v>
                </c:pt>
                <c:pt idx="111">
                  <c:v>38.991658000000001</c:v>
                </c:pt>
                <c:pt idx="112">
                  <c:v>38.991449000000003</c:v>
                </c:pt>
                <c:pt idx="113">
                  <c:v>38.991169999999997</c:v>
                </c:pt>
                <c:pt idx="114">
                  <c:v>38.991249000000003</c:v>
                </c:pt>
                <c:pt idx="115">
                  <c:v>38.991342000000003</c:v>
                </c:pt>
                <c:pt idx="116">
                  <c:v>38.991169999999997</c:v>
                </c:pt>
                <c:pt idx="117">
                  <c:v>38.990879</c:v>
                </c:pt>
                <c:pt idx="118">
                  <c:v>38.989958999999999</c:v>
                </c:pt>
                <c:pt idx="119">
                  <c:v>38.989865000000002</c:v>
                </c:pt>
                <c:pt idx="120">
                  <c:v>38.989882000000001</c:v>
                </c:pt>
                <c:pt idx="121">
                  <c:v>38.989558000000002</c:v>
                </c:pt>
                <c:pt idx="122">
                  <c:v>38.989369000000003</c:v>
                </c:pt>
                <c:pt idx="123">
                  <c:v>38.989260000000002</c:v>
                </c:pt>
                <c:pt idx="124">
                  <c:v>38.989158000000003</c:v>
                </c:pt>
                <c:pt idx="125">
                  <c:v>38.989060000000002</c:v>
                </c:pt>
                <c:pt idx="126">
                  <c:v>38.988878999999997</c:v>
                </c:pt>
                <c:pt idx="127">
                  <c:v>38.988807999999999</c:v>
                </c:pt>
                <c:pt idx="128">
                  <c:v>38.988607999999999</c:v>
                </c:pt>
                <c:pt idx="129">
                  <c:v>38.988568999999998</c:v>
                </c:pt>
                <c:pt idx="130">
                  <c:v>38.988630000000001</c:v>
                </c:pt>
                <c:pt idx="131">
                  <c:v>38.988509000000001</c:v>
                </c:pt>
                <c:pt idx="132">
                  <c:v>38.988377</c:v>
                </c:pt>
                <c:pt idx="133">
                  <c:v>38.988328000000003</c:v>
                </c:pt>
                <c:pt idx="134">
                  <c:v>38.988188000000001</c:v>
                </c:pt>
                <c:pt idx="135">
                  <c:v>38.988078999999999</c:v>
                </c:pt>
                <c:pt idx="136">
                  <c:v>38.987999000000002</c:v>
                </c:pt>
                <c:pt idx="137">
                  <c:v>38.987988000000001</c:v>
                </c:pt>
                <c:pt idx="138">
                  <c:v>38.988016000000002</c:v>
                </c:pt>
                <c:pt idx="139">
                  <c:v>38.987949999999998</c:v>
                </c:pt>
                <c:pt idx="140">
                  <c:v>38.987923000000002</c:v>
                </c:pt>
                <c:pt idx="141">
                  <c:v>38.987920000000003</c:v>
                </c:pt>
                <c:pt idx="142">
                  <c:v>38.987920000000003</c:v>
                </c:pt>
                <c:pt idx="143">
                  <c:v>38.98789</c:v>
                </c:pt>
                <c:pt idx="144">
                  <c:v>38.987879</c:v>
                </c:pt>
                <c:pt idx="145">
                  <c:v>38.987909000000002</c:v>
                </c:pt>
                <c:pt idx="146">
                  <c:v>38.987957999999999</c:v>
                </c:pt>
                <c:pt idx="147">
                  <c:v>38.988038000000003</c:v>
                </c:pt>
                <c:pt idx="148">
                  <c:v>38.988149999999997</c:v>
                </c:pt>
                <c:pt idx="149">
                  <c:v>38.988177</c:v>
                </c:pt>
                <c:pt idx="150">
                  <c:v>38.988157999999999</c:v>
                </c:pt>
                <c:pt idx="151">
                  <c:v>38.988101</c:v>
                </c:pt>
                <c:pt idx="152">
                  <c:v>38.988131000000003</c:v>
                </c:pt>
                <c:pt idx="153">
                  <c:v>38.988098000000001</c:v>
                </c:pt>
                <c:pt idx="154">
                  <c:v>38.988017999999997</c:v>
                </c:pt>
                <c:pt idx="155">
                  <c:v>38.987938999999997</c:v>
                </c:pt>
                <c:pt idx="156">
                  <c:v>38.987799000000003</c:v>
                </c:pt>
                <c:pt idx="157">
                  <c:v>38.986739</c:v>
                </c:pt>
                <c:pt idx="158">
                  <c:v>38.986319000000002</c:v>
                </c:pt>
                <c:pt idx="159">
                  <c:v>38.986040000000003</c:v>
                </c:pt>
                <c:pt idx="160">
                  <c:v>38.985878</c:v>
                </c:pt>
                <c:pt idx="161">
                  <c:v>38.985751999999998</c:v>
                </c:pt>
                <c:pt idx="162">
                  <c:v>38.985736000000003</c:v>
                </c:pt>
                <c:pt idx="163">
                  <c:v>38.985678</c:v>
                </c:pt>
                <c:pt idx="164">
                  <c:v>38.985489000000001</c:v>
                </c:pt>
                <c:pt idx="165">
                  <c:v>38.985379999999999</c:v>
                </c:pt>
                <c:pt idx="166">
                  <c:v>38.985289000000002</c:v>
                </c:pt>
                <c:pt idx="167">
                  <c:v>38.985073</c:v>
                </c:pt>
                <c:pt idx="168">
                  <c:v>38.985146999999998</c:v>
                </c:pt>
                <c:pt idx="169">
                  <c:v>38.985059</c:v>
                </c:pt>
                <c:pt idx="170">
                  <c:v>38.984892000000002</c:v>
                </c:pt>
                <c:pt idx="171">
                  <c:v>38.984907999999997</c:v>
                </c:pt>
                <c:pt idx="172">
                  <c:v>38.984839999999998</c:v>
                </c:pt>
                <c:pt idx="173">
                  <c:v>38.984689000000003</c:v>
                </c:pt>
                <c:pt idx="174">
                  <c:v>38.984588000000002</c:v>
                </c:pt>
                <c:pt idx="175">
                  <c:v>38.984357000000003</c:v>
                </c:pt>
                <c:pt idx="176">
                  <c:v>38.98424</c:v>
                </c:pt>
                <c:pt idx="177">
                  <c:v>38.984113999999998</c:v>
                </c:pt>
                <c:pt idx="178">
                  <c:v>38.98424</c:v>
                </c:pt>
                <c:pt idx="179">
                  <c:v>38.984357000000003</c:v>
                </c:pt>
                <c:pt idx="180">
                  <c:v>38.984588000000002</c:v>
                </c:pt>
                <c:pt idx="181">
                  <c:v>38.984757999999999</c:v>
                </c:pt>
                <c:pt idx="182">
                  <c:v>38.984878000000002</c:v>
                </c:pt>
                <c:pt idx="183">
                  <c:v>38.985137999999999</c:v>
                </c:pt>
                <c:pt idx="184">
                  <c:v>38.985399000000001</c:v>
                </c:pt>
                <c:pt idx="185">
                  <c:v>38.985629000000003</c:v>
                </c:pt>
                <c:pt idx="186">
                  <c:v>38.986248000000003</c:v>
                </c:pt>
                <c:pt idx="187">
                  <c:v>38.986258999999997</c:v>
                </c:pt>
                <c:pt idx="188">
                  <c:v>38.986248000000003</c:v>
                </c:pt>
                <c:pt idx="189">
                  <c:v>38.986750000000001</c:v>
                </c:pt>
                <c:pt idx="190">
                  <c:v>38.986897999999997</c:v>
                </c:pt>
                <c:pt idx="191">
                  <c:v>38.987098000000003</c:v>
                </c:pt>
                <c:pt idx="192">
                  <c:v>38.987380000000002</c:v>
                </c:pt>
                <c:pt idx="193">
                  <c:v>38.987806999999997</c:v>
                </c:pt>
                <c:pt idx="194">
                  <c:v>38.988177</c:v>
                </c:pt>
                <c:pt idx="195">
                  <c:v>38.988227000000002</c:v>
                </c:pt>
                <c:pt idx="196">
                  <c:v>38.988177</c:v>
                </c:pt>
                <c:pt idx="197">
                  <c:v>38.988261999999999</c:v>
                </c:pt>
                <c:pt idx="198">
                  <c:v>38.988242999999997</c:v>
                </c:pt>
                <c:pt idx="199">
                  <c:v>38.988267999999998</c:v>
                </c:pt>
                <c:pt idx="200">
                  <c:v>38.988987999999999</c:v>
                </c:pt>
                <c:pt idx="201">
                  <c:v>38.989539000000001</c:v>
                </c:pt>
                <c:pt idx="202">
                  <c:v>38.990183000000002</c:v>
                </c:pt>
                <c:pt idx="203">
                  <c:v>38.990194000000002</c:v>
                </c:pt>
                <c:pt idx="204">
                  <c:v>38.990538999999998</c:v>
                </c:pt>
                <c:pt idx="205">
                  <c:v>38.990969999999997</c:v>
                </c:pt>
                <c:pt idx="206">
                  <c:v>38.991219000000001</c:v>
                </c:pt>
                <c:pt idx="207">
                  <c:v>38.991249000000003</c:v>
                </c:pt>
                <c:pt idx="208">
                  <c:v>38.991245999999997</c:v>
                </c:pt>
                <c:pt idx="209">
                  <c:v>38.991917999999998</c:v>
                </c:pt>
                <c:pt idx="210">
                  <c:v>38.992699000000002</c:v>
                </c:pt>
                <c:pt idx="211">
                  <c:v>38.992797000000003</c:v>
                </c:pt>
                <c:pt idx="212">
                  <c:v>38.993457999999997</c:v>
                </c:pt>
                <c:pt idx="213">
                  <c:v>38.993465999999998</c:v>
                </c:pt>
                <c:pt idx="214">
                  <c:v>38.994298999999998</c:v>
                </c:pt>
                <c:pt idx="215">
                  <c:v>38.994383999999997</c:v>
                </c:pt>
                <c:pt idx="216">
                  <c:v>38.994439</c:v>
                </c:pt>
                <c:pt idx="217">
                  <c:v>38.995027999999998</c:v>
                </c:pt>
                <c:pt idx="218">
                  <c:v>38.995159999999998</c:v>
                </c:pt>
                <c:pt idx="219">
                  <c:v>38.995359999999998</c:v>
                </c:pt>
                <c:pt idx="220">
                  <c:v>38.996209</c:v>
                </c:pt>
                <c:pt idx="221">
                  <c:v>38.996870000000001</c:v>
                </c:pt>
                <c:pt idx="222">
                  <c:v>38.996882999999997</c:v>
                </c:pt>
                <c:pt idx="223">
                  <c:v>38.997329999999998</c:v>
                </c:pt>
                <c:pt idx="224">
                  <c:v>38.999488999999997</c:v>
                </c:pt>
                <c:pt idx="225">
                  <c:v>38.999485999999997</c:v>
                </c:pt>
                <c:pt idx="226">
                  <c:v>38.999488999999997</c:v>
                </c:pt>
                <c:pt idx="227">
                  <c:v>38.999727999999998</c:v>
                </c:pt>
                <c:pt idx="228">
                  <c:v>39.000067000000001</c:v>
                </c:pt>
                <c:pt idx="229">
                  <c:v>39.000410000000002</c:v>
                </c:pt>
                <c:pt idx="230">
                  <c:v>39.000847999999998</c:v>
                </c:pt>
                <c:pt idx="231">
                  <c:v>39.002498000000003</c:v>
                </c:pt>
                <c:pt idx="232">
                  <c:v>39.004348</c:v>
                </c:pt>
                <c:pt idx="233">
                  <c:v>39.004759</c:v>
                </c:pt>
                <c:pt idx="234">
                  <c:v>39.004928999999997</c:v>
                </c:pt>
                <c:pt idx="235">
                  <c:v>39.004908999999998</c:v>
                </c:pt>
                <c:pt idx="236">
                  <c:v>39.005178000000001</c:v>
                </c:pt>
                <c:pt idx="237">
                  <c:v>39.005437999999998</c:v>
                </c:pt>
                <c:pt idx="238">
                  <c:v>39.006098999999999</c:v>
                </c:pt>
                <c:pt idx="239">
                  <c:v>39.006090999999998</c:v>
                </c:pt>
                <c:pt idx="240">
                  <c:v>39.005918000000001</c:v>
                </c:pt>
                <c:pt idx="241">
                  <c:v>39.005797000000001</c:v>
                </c:pt>
                <c:pt idx="242">
                  <c:v>39.005761999999997</c:v>
                </c:pt>
                <c:pt idx="243">
                  <c:v>39.005833000000003</c:v>
                </c:pt>
                <c:pt idx="244">
                  <c:v>39.005729000000002</c:v>
                </c:pt>
                <c:pt idx="245">
                  <c:v>39.005648999999998</c:v>
                </c:pt>
                <c:pt idx="246">
                  <c:v>39.005597000000002</c:v>
                </c:pt>
                <c:pt idx="247">
                  <c:v>39.005558999999998</c:v>
                </c:pt>
                <c:pt idx="248">
                  <c:v>39.005518000000002</c:v>
                </c:pt>
                <c:pt idx="249">
                  <c:v>39.005518000000002</c:v>
                </c:pt>
                <c:pt idx="250">
                  <c:v>38.992939999999997</c:v>
                </c:pt>
                <c:pt idx="251">
                  <c:v>38.992707000000003</c:v>
                </c:pt>
                <c:pt idx="252">
                  <c:v>38.992699000000002</c:v>
                </c:pt>
                <c:pt idx="253">
                  <c:v>38.992556</c:v>
                </c:pt>
                <c:pt idx="254">
                  <c:v>38.992595000000001</c:v>
                </c:pt>
                <c:pt idx="255">
                  <c:v>38.992362</c:v>
                </c:pt>
                <c:pt idx="256">
                  <c:v>38.992227</c:v>
                </c:pt>
                <c:pt idx="257">
                  <c:v>38.992170000000002</c:v>
                </c:pt>
                <c:pt idx="258">
                  <c:v>38.992099000000003</c:v>
                </c:pt>
                <c:pt idx="259">
                  <c:v>38.991996999999998</c:v>
                </c:pt>
                <c:pt idx="260">
                  <c:v>38.991909999999997</c:v>
                </c:pt>
                <c:pt idx="261">
                  <c:v>38.991914999999999</c:v>
                </c:pt>
                <c:pt idx="262">
                  <c:v>38.991909999999997</c:v>
                </c:pt>
                <c:pt idx="263">
                  <c:v>38.990898000000001</c:v>
                </c:pt>
                <c:pt idx="264">
                  <c:v>38.990667999999999</c:v>
                </c:pt>
                <c:pt idx="265">
                  <c:v>38.990309000000003</c:v>
                </c:pt>
                <c:pt idx="266">
                  <c:v>38.990309000000003</c:v>
                </c:pt>
                <c:pt idx="267">
                  <c:v>38.990837999999997</c:v>
                </c:pt>
                <c:pt idx="268">
                  <c:v>38.991112000000001</c:v>
                </c:pt>
                <c:pt idx="269">
                  <c:v>38.991148000000003</c:v>
                </c:pt>
                <c:pt idx="270">
                  <c:v>38.991177999999998</c:v>
                </c:pt>
                <c:pt idx="271">
                  <c:v>38.991529</c:v>
                </c:pt>
                <c:pt idx="272">
                  <c:v>38.991759000000002</c:v>
                </c:pt>
                <c:pt idx="273">
                  <c:v>38.991978000000003</c:v>
                </c:pt>
                <c:pt idx="274">
                  <c:v>38.992006000000003</c:v>
                </c:pt>
                <c:pt idx="275">
                  <c:v>38.991985999999997</c:v>
                </c:pt>
                <c:pt idx="276">
                  <c:v>38.992528999999998</c:v>
                </c:pt>
                <c:pt idx="277">
                  <c:v>38.992899000000001</c:v>
                </c:pt>
                <c:pt idx="278">
                  <c:v>38.992998</c:v>
                </c:pt>
                <c:pt idx="279">
                  <c:v>38.993032999999997</c:v>
                </c:pt>
                <c:pt idx="280">
                  <c:v>38.993017000000002</c:v>
                </c:pt>
                <c:pt idx="281">
                  <c:v>38.993068999999998</c:v>
                </c:pt>
                <c:pt idx="282">
                  <c:v>38.993428000000002</c:v>
                </c:pt>
                <c:pt idx="283">
                  <c:v>38.993597999999999</c:v>
                </c:pt>
                <c:pt idx="284">
                  <c:v>38.993929000000001</c:v>
                </c:pt>
                <c:pt idx="285">
                  <c:v>38.994687999999996</c:v>
                </c:pt>
                <c:pt idx="286">
                  <c:v>38.995137999999997</c:v>
                </c:pt>
                <c:pt idx="287">
                  <c:v>38.995126999999997</c:v>
                </c:pt>
                <c:pt idx="288">
                  <c:v>38.995151</c:v>
                </c:pt>
                <c:pt idx="289">
                  <c:v>38.995137999999997</c:v>
                </c:pt>
                <c:pt idx="290">
                  <c:v>38.995868999999999</c:v>
                </c:pt>
                <c:pt idx="291">
                  <c:v>38.996560000000002</c:v>
                </c:pt>
                <c:pt idx="292">
                  <c:v>38.996575999999997</c:v>
                </c:pt>
                <c:pt idx="293">
                  <c:v>38.996560000000002</c:v>
                </c:pt>
                <c:pt idx="294">
                  <c:v>38.998170999999999</c:v>
                </c:pt>
                <c:pt idx="295">
                  <c:v>38.998176999999998</c:v>
                </c:pt>
                <c:pt idx="296">
                  <c:v>38.998179</c:v>
                </c:pt>
                <c:pt idx="297">
                  <c:v>38.999398999999997</c:v>
                </c:pt>
                <c:pt idx="298">
                  <c:v>39.000098000000001</c:v>
                </c:pt>
                <c:pt idx="299">
                  <c:v>39.001690000000004</c:v>
                </c:pt>
                <c:pt idx="300">
                  <c:v>39.002029</c:v>
                </c:pt>
                <c:pt idx="301">
                  <c:v>39.002369000000002</c:v>
                </c:pt>
                <c:pt idx="302">
                  <c:v>39.002799000000003</c:v>
                </c:pt>
                <c:pt idx="303">
                  <c:v>39.003098000000001</c:v>
                </c:pt>
                <c:pt idx="304">
                  <c:v>39.003357999999999</c:v>
                </c:pt>
                <c:pt idx="305">
                  <c:v>39.003599999999999</c:v>
                </c:pt>
                <c:pt idx="306">
                  <c:v>39.003630000000001</c:v>
                </c:pt>
                <c:pt idx="307">
                  <c:v>39.003599999999999</c:v>
                </c:pt>
                <c:pt idx="308">
                  <c:v>39.003357999999999</c:v>
                </c:pt>
                <c:pt idx="309">
                  <c:v>39.003098000000001</c:v>
                </c:pt>
                <c:pt idx="310">
                  <c:v>39.002799000000003</c:v>
                </c:pt>
                <c:pt idx="311">
                  <c:v>39.002830000000003</c:v>
                </c:pt>
                <c:pt idx="312">
                  <c:v>39.003619</c:v>
                </c:pt>
                <c:pt idx="313">
                  <c:v>39.004128000000001</c:v>
                </c:pt>
                <c:pt idx="314">
                  <c:v>39.004517999999997</c:v>
                </c:pt>
                <c:pt idx="315">
                  <c:v>39.004807999999997</c:v>
                </c:pt>
                <c:pt idx="316">
                  <c:v>39.005189000000001</c:v>
                </c:pt>
                <c:pt idx="317">
                  <c:v>39.005200000000002</c:v>
                </c:pt>
                <c:pt idx="318">
                  <c:v>39.005339999999997</c:v>
                </c:pt>
                <c:pt idx="319">
                  <c:v>39.006559000000003</c:v>
                </c:pt>
                <c:pt idx="320">
                  <c:v>39.006506999999999</c:v>
                </c:pt>
                <c:pt idx="321">
                  <c:v>39.006529</c:v>
                </c:pt>
                <c:pt idx="322">
                  <c:v>39.006487999999997</c:v>
                </c:pt>
                <c:pt idx="323">
                  <c:v>39.006819</c:v>
                </c:pt>
                <c:pt idx="324">
                  <c:v>39.007328999999999</c:v>
                </c:pt>
                <c:pt idx="325">
                  <c:v>39.00788</c:v>
                </c:pt>
                <c:pt idx="326">
                  <c:v>39.008597999999999</c:v>
                </c:pt>
                <c:pt idx="327">
                  <c:v>39.008650000000003</c:v>
                </c:pt>
                <c:pt idx="328">
                  <c:v>39.008676999999999</c:v>
                </c:pt>
                <c:pt idx="329">
                  <c:v>39.010027999999998</c:v>
                </c:pt>
                <c:pt idx="330">
                  <c:v>39.010089000000001</c:v>
                </c:pt>
                <c:pt idx="331">
                  <c:v>39.010137999999998</c:v>
                </c:pt>
                <c:pt idx="332">
                  <c:v>39.010109999999997</c:v>
                </c:pt>
                <c:pt idx="333">
                  <c:v>39.010787000000001</c:v>
                </c:pt>
                <c:pt idx="334">
                  <c:v>39.011918999999999</c:v>
                </c:pt>
                <c:pt idx="335">
                  <c:v>39.01247</c:v>
                </c:pt>
                <c:pt idx="336">
                  <c:v>39.013007000000002</c:v>
                </c:pt>
                <c:pt idx="337">
                  <c:v>39.012974</c:v>
                </c:pt>
                <c:pt idx="338">
                  <c:v>39.013097000000002</c:v>
                </c:pt>
                <c:pt idx="339">
                  <c:v>39.013665000000003</c:v>
                </c:pt>
                <c:pt idx="340">
                  <c:v>39.013688999999999</c:v>
                </c:pt>
                <c:pt idx="341">
                  <c:v>39.014150000000001</c:v>
                </c:pt>
                <c:pt idx="342">
                  <c:v>39.014429</c:v>
                </c:pt>
                <c:pt idx="343">
                  <c:v>39.014738999999999</c:v>
                </c:pt>
                <c:pt idx="344">
                  <c:v>39.015006999999997</c:v>
                </c:pt>
                <c:pt idx="345">
                  <c:v>39.015180000000001</c:v>
                </c:pt>
                <c:pt idx="346">
                  <c:v>39.015638000000003</c:v>
                </c:pt>
                <c:pt idx="347">
                  <c:v>39.015777</c:v>
                </c:pt>
                <c:pt idx="348">
                  <c:v>39.016539000000002</c:v>
                </c:pt>
                <c:pt idx="349">
                  <c:v>39.016883999999997</c:v>
                </c:pt>
                <c:pt idx="350">
                  <c:v>39.016905999999999</c:v>
                </c:pt>
                <c:pt idx="351">
                  <c:v>39.017037999999999</c:v>
                </c:pt>
                <c:pt idx="352">
                  <c:v>39.017498000000003</c:v>
                </c:pt>
                <c:pt idx="353">
                  <c:v>39.018138999999998</c:v>
                </c:pt>
                <c:pt idx="354">
                  <c:v>39.018219000000002</c:v>
                </c:pt>
                <c:pt idx="355">
                  <c:v>39.018197000000001</c:v>
                </c:pt>
                <c:pt idx="356">
                  <c:v>39.018608</c:v>
                </c:pt>
                <c:pt idx="357">
                  <c:v>39.019402999999997</c:v>
                </c:pt>
                <c:pt idx="358">
                  <c:v>39.019373000000002</c:v>
                </c:pt>
                <c:pt idx="359">
                  <c:v>39.019539999999999</c:v>
                </c:pt>
                <c:pt idx="360">
                  <c:v>39.020397000000003</c:v>
                </c:pt>
                <c:pt idx="361">
                  <c:v>39.020547999999998</c:v>
                </c:pt>
                <c:pt idx="362">
                  <c:v>39.020572999999999</c:v>
                </c:pt>
                <c:pt idx="363">
                  <c:v>39.020789000000001</c:v>
                </c:pt>
                <c:pt idx="364">
                  <c:v>39.021729000000001</c:v>
                </c:pt>
                <c:pt idx="365">
                  <c:v>39.022438999999999</c:v>
                </c:pt>
                <c:pt idx="366">
                  <c:v>39.022413999999998</c:v>
                </c:pt>
                <c:pt idx="367">
                  <c:v>39.022432999999999</c:v>
                </c:pt>
                <c:pt idx="368">
                  <c:v>39.005462999999999</c:v>
                </c:pt>
                <c:pt idx="369">
                  <c:v>39.005389000000001</c:v>
                </c:pt>
                <c:pt idx="370">
                  <c:v>39.005386000000001</c:v>
                </c:pt>
                <c:pt idx="371">
                  <c:v>39.005299000000001</c:v>
                </c:pt>
                <c:pt idx="372">
                  <c:v>39.005268000000001</c:v>
                </c:pt>
                <c:pt idx="373">
                  <c:v>39.005226999999998</c:v>
                </c:pt>
                <c:pt idx="374">
                  <c:v>39.005147999999998</c:v>
                </c:pt>
                <c:pt idx="375">
                  <c:v>39.005037999999999</c:v>
                </c:pt>
                <c:pt idx="376">
                  <c:v>39.004800000000003</c:v>
                </c:pt>
                <c:pt idx="377">
                  <c:v>39.004668000000002</c:v>
                </c:pt>
                <c:pt idx="378">
                  <c:v>39.004589000000003</c:v>
                </c:pt>
                <c:pt idx="379">
                  <c:v>39.004548</c:v>
                </c:pt>
                <c:pt idx="380">
                  <c:v>39.004517999999997</c:v>
                </c:pt>
                <c:pt idx="381">
                  <c:v>39.004128000000001</c:v>
                </c:pt>
                <c:pt idx="382">
                  <c:v>39.003619</c:v>
                </c:pt>
                <c:pt idx="383">
                  <c:v>39.002830000000003</c:v>
                </c:pt>
                <c:pt idx="384">
                  <c:v>39.002799000000003</c:v>
                </c:pt>
                <c:pt idx="385">
                  <c:v>39.003098000000001</c:v>
                </c:pt>
                <c:pt idx="386">
                  <c:v>39.003357999999999</c:v>
                </c:pt>
                <c:pt idx="387">
                  <c:v>39.003599999999999</c:v>
                </c:pt>
                <c:pt idx="388">
                  <c:v>39.004049000000002</c:v>
                </c:pt>
                <c:pt idx="389">
                  <c:v>39.004517999999997</c:v>
                </c:pt>
                <c:pt idx="390">
                  <c:v>39.004550000000002</c:v>
                </c:pt>
                <c:pt idx="391">
                  <c:v>39.004561000000002</c:v>
                </c:pt>
                <c:pt idx="392">
                  <c:v>39.024839</c:v>
                </c:pt>
                <c:pt idx="393">
                  <c:v>39.024878000000001</c:v>
                </c:pt>
                <c:pt idx="394">
                  <c:v>39.024842</c:v>
                </c:pt>
                <c:pt idx="395">
                  <c:v>39.024878000000001</c:v>
                </c:pt>
                <c:pt idx="396">
                  <c:v>39.024549</c:v>
                </c:pt>
                <c:pt idx="397">
                  <c:v>39.024217</c:v>
                </c:pt>
                <c:pt idx="398">
                  <c:v>39.023997999999999</c:v>
                </c:pt>
                <c:pt idx="399">
                  <c:v>39.023814999999999</c:v>
                </c:pt>
                <c:pt idx="400">
                  <c:v>39.023795</c:v>
                </c:pt>
                <c:pt idx="401">
                  <c:v>39.023760000000003</c:v>
                </c:pt>
                <c:pt idx="402">
                  <c:v>39.023617000000002</c:v>
                </c:pt>
                <c:pt idx="403">
                  <c:v>39.023477999999997</c:v>
                </c:pt>
                <c:pt idx="404">
                  <c:v>39.023277</c:v>
                </c:pt>
                <c:pt idx="405">
                  <c:v>39.023159999999997</c:v>
                </c:pt>
                <c:pt idx="406">
                  <c:v>39.02319</c:v>
                </c:pt>
                <c:pt idx="407">
                  <c:v>39.023164999999999</c:v>
                </c:pt>
                <c:pt idx="408">
                  <c:v>39.023159999999997</c:v>
                </c:pt>
                <c:pt idx="409">
                  <c:v>39.023277</c:v>
                </c:pt>
                <c:pt idx="410">
                  <c:v>39.023108000000001</c:v>
                </c:pt>
                <c:pt idx="411">
                  <c:v>39.023027999999996</c:v>
                </c:pt>
                <c:pt idx="412">
                  <c:v>39.022959999999998</c:v>
                </c:pt>
                <c:pt idx="413">
                  <c:v>39.022938000000003</c:v>
                </c:pt>
                <c:pt idx="414">
                  <c:v>39.022838999999998</c:v>
                </c:pt>
                <c:pt idx="415">
                  <c:v>39.022688000000002</c:v>
                </c:pt>
                <c:pt idx="416">
                  <c:v>39.022277000000003</c:v>
                </c:pt>
                <c:pt idx="417">
                  <c:v>39.022117999999999</c:v>
                </c:pt>
                <c:pt idx="418">
                  <c:v>39.022094000000003</c:v>
                </c:pt>
                <c:pt idx="419">
                  <c:v>39.022117999999999</c:v>
                </c:pt>
                <c:pt idx="420">
                  <c:v>39.022609000000003</c:v>
                </c:pt>
                <c:pt idx="421">
                  <c:v>39.023257999999998</c:v>
                </c:pt>
                <c:pt idx="422">
                  <c:v>39.023589999999999</c:v>
                </c:pt>
                <c:pt idx="423">
                  <c:v>39.023949000000002</c:v>
                </c:pt>
                <c:pt idx="424">
                  <c:v>39.02413</c:v>
                </c:pt>
                <c:pt idx="425">
                  <c:v>39.024338</c:v>
                </c:pt>
                <c:pt idx="426">
                  <c:v>39.024700000000003</c:v>
                </c:pt>
                <c:pt idx="427">
                  <c:v>39.025337999999998</c:v>
                </c:pt>
                <c:pt idx="428">
                  <c:v>39.025409000000003</c:v>
                </c:pt>
                <c:pt idx="429">
                  <c:v>39.025430999999998</c:v>
                </c:pt>
                <c:pt idx="430">
                  <c:v>39.025388</c:v>
                </c:pt>
                <c:pt idx="431">
                  <c:v>39.025737999999997</c:v>
                </c:pt>
                <c:pt idx="432">
                  <c:v>39.025812000000002</c:v>
                </c:pt>
                <c:pt idx="433">
                  <c:v>39.025888999999999</c:v>
                </c:pt>
                <c:pt idx="434">
                  <c:v>39.026119000000001</c:v>
                </c:pt>
                <c:pt idx="435">
                  <c:v>39.026209999999999</c:v>
                </c:pt>
                <c:pt idx="436">
                  <c:v>39.026358000000002</c:v>
                </c:pt>
                <c:pt idx="437">
                  <c:v>39.026387999999997</c:v>
                </c:pt>
                <c:pt idx="438">
                  <c:v>39.026459000000003</c:v>
                </c:pt>
                <c:pt idx="439">
                  <c:v>39.026519</c:v>
                </c:pt>
                <c:pt idx="440">
                  <c:v>39.026549000000003</c:v>
                </c:pt>
                <c:pt idx="441">
                  <c:v>39.026538000000002</c:v>
                </c:pt>
                <c:pt idx="442">
                  <c:v>39.026538000000002</c:v>
                </c:pt>
                <c:pt idx="443">
                  <c:v>39.026459000000003</c:v>
                </c:pt>
                <c:pt idx="444">
                  <c:v>39.026508</c:v>
                </c:pt>
                <c:pt idx="445">
                  <c:v>39.026488999999998</c:v>
                </c:pt>
                <c:pt idx="446">
                  <c:v>39.026488999999998</c:v>
                </c:pt>
                <c:pt idx="447">
                  <c:v>39.026519</c:v>
                </c:pt>
                <c:pt idx="448">
                  <c:v>39.026488999999998</c:v>
                </c:pt>
                <c:pt idx="449">
                  <c:v>39.026538000000002</c:v>
                </c:pt>
                <c:pt idx="450">
                  <c:v>39.026670000000003</c:v>
                </c:pt>
                <c:pt idx="451">
                  <c:v>39.026749000000002</c:v>
                </c:pt>
                <c:pt idx="452">
                  <c:v>39.026395999999998</c:v>
                </c:pt>
                <c:pt idx="453">
                  <c:v>39.026355000000002</c:v>
                </c:pt>
              </c:numCache>
            </c:numRef>
          </c:xVal>
          <c:yVal>
            <c:numRef>
              <c:f>Limits!$E$517:$E$970</c:f>
              <c:numCache>
                <c:formatCode>General</c:formatCode>
                <c:ptCount val="454"/>
                <c:pt idx="0">
                  <c:v>-77.027935999999997</c:v>
                </c:pt>
                <c:pt idx="1">
                  <c:v>-77.027941999999996</c:v>
                </c:pt>
                <c:pt idx="2">
                  <c:v>-77.027666999999994</c:v>
                </c:pt>
                <c:pt idx="3">
                  <c:v>-77.027664000000001</c:v>
                </c:pt>
                <c:pt idx="4">
                  <c:v>-77.027941999999996</c:v>
                </c:pt>
                <c:pt idx="5">
                  <c:v>-77.029139999999998</c:v>
                </c:pt>
                <c:pt idx="6">
                  <c:v>-77.029313000000002</c:v>
                </c:pt>
                <c:pt idx="7">
                  <c:v>-77.029522999999998</c:v>
                </c:pt>
                <c:pt idx="8">
                  <c:v>-77.030163000000002</c:v>
                </c:pt>
                <c:pt idx="9">
                  <c:v>-77.030887000000007</c:v>
                </c:pt>
                <c:pt idx="10">
                  <c:v>-77.030985000000001</c:v>
                </c:pt>
                <c:pt idx="11">
                  <c:v>-77.031391999999997</c:v>
                </c:pt>
                <c:pt idx="12">
                  <c:v>-77.032240999999999</c:v>
                </c:pt>
                <c:pt idx="13">
                  <c:v>-77.032610000000005</c:v>
                </c:pt>
                <c:pt idx="14">
                  <c:v>-77.032953000000006</c:v>
                </c:pt>
                <c:pt idx="15">
                  <c:v>-77.033184000000006</c:v>
                </c:pt>
                <c:pt idx="16">
                  <c:v>-77.033126999999993</c:v>
                </c:pt>
                <c:pt idx="17">
                  <c:v>-77.033271999999997</c:v>
                </c:pt>
                <c:pt idx="18">
                  <c:v>-77.033552999999998</c:v>
                </c:pt>
                <c:pt idx="19">
                  <c:v>-77.033851999999996</c:v>
                </c:pt>
                <c:pt idx="20">
                  <c:v>-77.034492999999998</c:v>
                </c:pt>
                <c:pt idx="21">
                  <c:v>-77.035053000000005</c:v>
                </c:pt>
                <c:pt idx="22">
                  <c:v>-77.035051999999993</c:v>
                </c:pt>
                <c:pt idx="23">
                  <c:v>-77.035281999999995</c:v>
                </c:pt>
                <c:pt idx="24">
                  <c:v>-77.036230000000003</c:v>
                </c:pt>
                <c:pt idx="25">
                  <c:v>-77.036349999999999</c:v>
                </c:pt>
                <c:pt idx="26">
                  <c:v>-77.036843000000005</c:v>
                </c:pt>
                <c:pt idx="27">
                  <c:v>-77.037023000000005</c:v>
                </c:pt>
                <c:pt idx="28">
                  <c:v>-77.037293000000005</c:v>
                </c:pt>
                <c:pt idx="29">
                  <c:v>-77.037643000000003</c:v>
                </c:pt>
                <c:pt idx="30">
                  <c:v>-77.037960999999996</c:v>
                </c:pt>
                <c:pt idx="31">
                  <c:v>-77.038269</c:v>
                </c:pt>
                <c:pt idx="32">
                  <c:v>-77.038207999999997</c:v>
                </c:pt>
                <c:pt idx="33">
                  <c:v>-77.038611000000003</c:v>
                </c:pt>
                <c:pt idx="34">
                  <c:v>-77.038972000000001</c:v>
                </c:pt>
                <c:pt idx="35">
                  <c:v>-77.039299999999997</c:v>
                </c:pt>
                <c:pt idx="36">
                  <c:v>-77.039681999999999</c:v>
                </c:pt>
                <c:pt idx="37">
                  <c:v>-77.039941999999996</c:v>
                </c:pt>
                <c:pt idx="38">
                  <c:v>-77.040182000000001</c:v>
                </c:pt>
                <c:pt idx="39">
                  <c:v>-77.040362000000002</c:v>
                </c:pt>
                <c:pt idx="40">
                  <c:v>-77.040572999999995</c:v>
                </c:pt>
                <c:pt idx="41">
                  <c:v>-77.040739000000002</c:v>
                </c:pt>
                <c:pt idx="42">
                  <c:v>-77.040749000000005</c:v>
                </c:pt>
                <c:pt idx="43">
                  <c:v>-77.040852000000001</c:v>
                </c:pt>
                <c:pt idx="44">
                  <c:v>-77.041143000000005</c:v>
                </c:pt>
                <c:pt idx="45">
                  <c:v>-77.041572000000002</c:v>
                </c:pt>
                <c:pt idx="46">
                  <c:v>-77.042047999999994</c:v>
                </c:pt>
                <c:pt idx="47">
                  <c:v>-77.042113999999998</c:v>
                </c:pt>
                <c:pt idx="48">
                  <c:v>-77.042192999999997</c:v>
                </c:pt>
                <c:pt idx="49">
                  <c:v>-77.043411000000006</c:v>
                </c:pt>
                <c:pt idx="50">
                  <c:v>-77.043581000000003</c:v>
                </c:pt>
                <c:pt idx="51">
                  <c:v>-77.043783000000005</c:v>
                </c:pt>
                <c:pt idx="52">
                  <c:v>-77.043970000000002</c:v>
                </c:pt>
                <c:pt idx="53">
                  <c:v>-77.044341000000003</c:v>
                </c:pt>
                <c:pt idx="54">
                  <c:v>-77.044601</c:v>
                </c:pt>
                <c:pt idx="55">
                  <c:v>-77.045332999999999</c:v>
                </c:pt>
                <c:pt idx="56">
                  <c:v>-77.045303000000004</c:v>
                </c:pt>
                <c:pt idx="57">
                  <c:v>-77.045544000000007</c:v>
                </c:pt>
                <c:pt idx="58">
                  <c:v>-77.046661</c:v>
                </c:pt>
                <c:pt idx="59">
                  <c:v>-77.047031000000004</c:v>
                </c:pt>
                <c:pt idx="60">
                  <c:v>-77.047410999999997</c:v>
                </c:pt>
                <c:pt idx="61">
                  <c:v>-77.047781000000001</c:v>
                </c:pt>
                <c:pt idx="62">
                  <c:v>-77.048119999999997</c:v>
                </c:pt>
                <c:pt idx="63">
                  <c:v>-77.048970999999995</c:v>
                </c:pt>
                <c:pt idx="64">
                  <c:v>-77.049632000000003</c:v>
                </c:pt>
                <c:pt idx="65">
                  <c:v>-77.049949999999995</c:v>
                </c:pt>
                <c:pt idx="66">
                  <c:v>-77.050179999999997</c:v>
                </c:pt>
                <c:pt idx="67">
                  <c:v>-77.050410999999997</c:v>
                </c:pt>
                <c:pt idx="68">
                  <c:v>-77.050593000000006</c:v>
                </c:pt>
                <c:pt idx="69">
                  <c:v>-77.050931000000006</c:v>
                </c:pt>
                <c:pt idx="70">
                  <c:v>-77.051461000000003</c:v>
                </c:pt>
                <c:pt idx="71">
                  <c:v>-77.051666999999995</c:v>
                </c:pt>
                <c:pt idx="72">
                  <c:v>-77.051685000000006</c:v>
                </c:pt>
                <c:pt idx="73">
                  <c:v>-77.051929999999999</c:v>
                </c:pt>
                <c:pt idx="74">
                  <c:v>-77.051964999999996</c:v>
                </c:pt>
                <c:pt idx="75">
                  <c:v>-77.051929999999999</c:v>
                </c:pt>
                <c:pt idx="76">
                  <c:v>-77.052193000000003</c:v>
                </c:pt>
                <c:pt idx="77">
                  <c:v>-77.053291000000002</c:v>
                </c:pt>
                <c:pt idx="78">
                  <c:v>-77.054443000000006</c:v>
                </c:pt>
                <c:pt idx="79">
                  <c:v>-77.054991999999999</c:v>
                </c:pt>
                <c:pt idx="80">
                  <c:v>-77.055289000000002</c:v>
                </c:pt>
                <c:pt idx="81">
                  <c:v>-77.055291999999994</c:v>
                </c:pt>
                <c:pt idx="82">
                  <c:v>-77.055543</c:v>
                </c:pt>
                <c:pt idx="83">
                  <c:v>-77.055833000000007</c:v>
                </c:pt>
                <c:pt idx="84">
                  <c:v>-77.057951000000003</c:v>
                </c:pt>
                <c:pt idx="85">
                  <c:v>-77.057953999999995</c:v>
                </c:pt>
                <c:pt idx="86">
                  <c:v>-77.058031999999997</c:v>
                </c:pt>
                <c:pt idx="87">
                  <c:v>-77.058173999999994</c:v>
                </c:pt>
                <c:pt idx="88">
                  <c:v>-77.058632000000003</c:v>
                </c:pt>
                <c:pt idx="89">
                  <c:v>-77.058881999999997</c:v>
                </c:pt>
                <c:pt idx="90">
                  <c:v>-77.059213</c:v>
                </c:pt>
                <c:pt idx="91">
                  <c:v>-77.059522999999999</c:v>
                </c:pt>
                <c:pt idx="92">
                  <c:v>-77.060091999999997</c:v>
                </c:pt>
                <c:pt idx="93">
                  <c:v>-77.060323999999994</c:v>
                </c:pt>
                <c:pt idx="94">
                  <c:v>-77.060305999999997</c:v>
                </c:pt>
                <c:pt idx="95">
                  <c:v>-77.060563000000002</c:v>
                </c:pt>
                <c:pt idx="96">
                  <c:v>-77.060781000000006</c:v>
                </c:pt>
                <c:pt idx="97">
                  <c:v>-77.062071000000003</c:v>
                </c:pt>
                <c:pt idx="98">
                  <c:v>-77.062303</c:v>
                </c:pt>
                <c:pt idx="99">
                  <c:v>-77.063170999999997</c:v>
                </c:pt>
                <c:pt idx="100">
                  <c:v>-77.06353</c:v>
                </c:pt>
                <c:pt idx="101">
                  <c:v>-77.064080000000004</c:v>
                </c:pt>
                <c:pt idx="102">
                  <c:v>-77.064291999999995</c:v>
                </c:pt>
                <c:pt idx="103">
                  <c:v>-77.064301</c:v>
                </c:pt>
                <c:pt idx="104">
                  <c:v>-77.064492999999999</c:v>
                </c:pt>
                <c:pt idx="105">
                  <c:v>-77.065061999999998</c:v>
                </c:pt>
                <c:pt idx="106">
                  <c:v>-77.065430000000006</c:v>
                </c:pt>
                <c:pt idx="107">
                  <c:v>-77.065813000000006</c:v>
                </c:pt>
                <c:pt idx="108">
                  <c:v>-77.066242000000003</c:v>
                </c:pt>
                <c:pt idx="109">
                  <c:v>-77.066801999999996</c:v>
                </c:pt>
                <c:pt idx="110">
                  <c:v>-77.067243000000005</c:v>
                </c:pt>
                <c:pt idx="111">
                  <c:v>-77.068190999999999</c:v>
                </c:pt>
                <c:pt idx="112">
                  <c:v>-77.068521000000004</c:v>
                </c:pt>
                <c:pt idx="113">
                  <c:v>-77.068892000000005</c:v>
                </c:pt>
                <c:pt idx="114">
                  <c:v>-77.069018</c:v>
                </c:pt>
                <c:pt idx="115">
                  <c:v>-77.068917999999996</c:v>
                </c:pt>
                <c:pt idx="116">
                  <c:v>-77.068892000000005</c:v>
                </c:pt>
                <c:pt idx="117">
                  <c:v>-77.069111000000007</c:v>
                </c:pt>
                <c:pt idx="118">
                  <c:v>-77.069721999999999</c:v>
                </c:pt>
                <c:pt idx="119">
                  <c:v>-77.069787000000005</c:v>
                </c:pt>
                <c:pt idx="120">
                  <c:v>-77.069817999999998</c:v>
                </c:pt>
                <c:pt idx="121">
                  <c:v>-77.069991999999999</c:v>
                </c:pt>
                <c:pt idx="122">
                  <c:v>-77.070192000000006</c:v>
                </c:pt>
                <c:pt idx="123">
                  <c:v>-77.070362000000003</c:v>
                </c:pt>
                <c:pt idx="124">
                  <c:v>-77.070603000000006</c:v>
                </c:pt>
                <c:pt idx="125">
                  <c:v>-77.071010000000001</c:v>
                </c:pt>
                <c:pt idx="126">
                  <c:v>-77.071911</c:v>
                </c:pt>
                <c:pt idx="127">
                  <c:v>-77.072310999999999</c:v>
                </c:pt>
                <c:pt idx="128">
                  <c:v>-77.073539999999994</c:v>
                </c:pt>
                <c:pt idx="129">
                  <c:v>-77.073763</c:v>
                </c:pt>
                <c:pt idx="130">
                  <c:v>-77.073775999999995</c:v>
                </c:pt>
                <c:pt idx="131">
                  <c:v>-77.074151000000001</c:v>
                </c:pt>
                <c:pt idx="132">
                  <c:v>-77.075123000000005</c:v>
                </c:pt>
                <c:pt idx="133">
                  <c:v>-77.075310000000002</c:v>
                </c:pt>
                <c:pt idx="134">
                  <c:v>-77.075770000000006</c:v>
                </c:pt>
                <c:pt idx="135">
                  <c:v>-77.076103000000003</c:v>
                </c:pt>
                <c:pt idx="136">
                  <c:v>-77.076351000000003</c:v>
                </c:pt>
                <c:pt idx="137">
                  <c:v>-77.076410999999993</c:v>
                </c:pt>
                <c:pt idx="138">
                  <c:v>-77.076418000000004</c:v>
                </c:pt>
                <c:pt idx="139">
                  <c:v>-77.076650999999998</c:v>
                </c:pt>
                <c:pt idx="140">
                  <c:v>-77.077089000000001</c:v>
                </c:pt>
                <c:pt idx="141">
                  <c:v>-77.077151999999998</c:v>
                </c:pt>
                <c:pt idx="142">
                  <c:v>-77.077789999999993</c:v>
                </c:pt>
                <c:pt idx="143">
                  <c:v>-77.079402000000002</c:v>
                </c:pt>
                <c:pt idx="144">
                  <c:v>-77.079800000000006</c:v>
                </c:pt>
                <c:pt idx="145">
                  <c:v>-77.080262000000005</c:v>
                </c:pt>
                <c:pt idx="146">
                  <c:v>-77.080652999999998</c:v>
                </c:pt>
                <c:pt idx="147">
                  <c:v>-77.080983000000003</c:v>
                </c:pt>
                <c:pt idx="148">
                  <c:v>-77.081401</c:v>
                </c:pt>
                <c:pt idx="149">
                  <c:v>-77.081671999999998</c:v>
                </c:pt>
                <c:pt idx="150">
                  <c:v>-77.082053000000002</c:v>
                </c:pt>
                <c:pt idx="151">
                  <c:v>-77.082361000000006</c:v>
                </c:pt>
                <c:pt idx="152">
                  <c:v>-77.082367000000005</c:v>
                </c:pt>
                <c:pt idx="153">
                  <c:v>-77.082381999999996</c:v>
                </c:pt>
                <c:pt idx="154">
                  <c:v>-77.082650999999998</c:v>
                </c:pt>
                <c:pt idx="155">
                  <c:v>-77.082841999999999</c:v>
                </c:pt>
                <c:pt idx="156">
                  <c:v>-77.083100999999999</c:v>
                </c:pt>
                <c:pt idx="157">
                  <c:v>-77.084511000000006</c:v>
                </c:pt>
                <c:pt idx="158">
                  <c:v>-77.085560000000001</c:v>
                </c:pt>
                <c:pt idx="159">
                  <c:v>-77.086462999999995</c:v>
                </c:pt>
                <c:pt idx="160">
                  <c:v>-77.087081999999995</c:v>
                </c:pt>
                <c:pt idx="161">
                  <c:v>-77.087491999999997</c:v>
                </c:pt>
                <c:pt idx="162">
                  <c:v>-77.087481999999994</c:v>
                </c:pt>
                <c:pt idx="163">
                  <c:v>-77.087743000000003</c:v>
                </c:pt>
                <c:pt idx="164">
                  <c:v>-77.088432999999995</c:v>
                </c:pt>
                <c:pt idx="165">
                  <c:v>-77.088920999999999</c:v>
                </c:pt>
                <c:pt idx="166">
                  <c:v>-77.089472000000001</c:v>
                </c:pt>
                <c:pt idx="167">
                  <c:v>-77.090973000000005</c:v>
                </c:pt>
                <c:pt idx="168">
                  <c:v>-77.090986999999998</c:v>
                </c:pt>
                <c:pt idx="169">
                  <c:v>-77.091071999999997</c:v>
                </c:pt>
                <c:pt idx="170">
                  <c:v>-77.092254999999994</c:v>
                </c:pt>
                <c:pt idx="171">
                  <c:v>-77.092258999999999</c:v>
                </c:pt>
                <c:pt idx="172">
                  <c:v>-77.092633000000006</c:v>
                </c:pt>
                <c:pt idx="173">
                  <c:v>-77.093530999999999</c:v>
                </c:pt>
                <c:pt idx="174">
                  <c:v>-77.094201999999996</c:v>
                </c:pt>
                <c:pt idx="175">
                  <c:v>-77.094190999999995</c:v>
                </c:pt>
                <c:pt idx="176">
                  <c:v>-77.094160000000002</c:v>
                </c:pt>
                <c:pt idx="177">
                  <c:v>-77.094122999999996</c:v>
                </c:pt>
                <c:pt idx="178">
                  <c:v>-77.094160000000002</c:v>
                </c:pt>
                <c:pt idx="179">
                  <c:v>-77.094190999999995</c:v>
                </c:pt>
                <c:pt idx="180">
                  <c:v>-77.094201999999996</c:v>
                </c:pt>
                <c:pt idx="181">
                  <c:v>-77.094241999999994</c:v>
                </c:pt>
                <c:pt idx="182">
                  <c:v>-77.094480000000004</c:v>
                </c:pt>
                <c:pt idx="183">
                  <c:v>-77.094909999999999</c:v>
                </c:pt>
                <c:pt idx="184">
                  <c:v>-77.095330000000004</c:v>
                </c:pt>
                <c:pt idx="185">
                  <c:v>-77.095682999999994</c:v>
                </c:pt>
                <c:pt idx="186">
                  <c:v>-77.096722</c:v>
                </c:pt>
                <c:pt idx="187">
                  <c:v>-77.096765000000005</c:v>
                </c:pt>
                <c:pt idx="188">
                  <c:v>-77.096722</c:v>
                </c:pt>
                <c:pt idx="189">
                  <c:v>-77.096211999999994</c:v>
                </c:pt>
                <c:pt idx="190">
                  <c:v>-77.096072000000007</c:v>
                </c:pt>
                <c:pt idx="191">
                  <c:v>-77.095961000000003</c:v>
                </c:pt>
                <c:pt idx="192">
                  <c:v>-77.095961000000003</c:v>
                </c:pt>
                <c:pt idx="193">
                  <c:v>-77.096011000000004</c:v>
                </c:pt>
                <c:pt idx="194">
                  <c:v>-77.096063000000001</c:v>
                </c:pt>
                <c:pt idx="195">
                  <c:v>-77.096058999999997</c:v>
                </c:pt>
                <c:pt idx="196">
                  <c:v>-77.096063000000001</c:v>
                </c:pt>
                <c:pt idx="197">
                  <c:v>-77.095093000000006</c:v>
                </c:pt>
                <c:pt idx="198">
                  <c:v>-77.095089000000002</c:v>
                </c:pt>
                <c:pt idx="199">
                  <c:v>-77.095050000000001</c:v>
                </c:pt>
                <c:pt idx="200">
                  <c:v>-77.095209999999994</c:v>
                </c:pt>
                <c:pt idx="201">
                  <c:v>-77.095330000000004</c:v>
                </c:pt>
                <c:pt idx="202">
                  <c:v>-77.095470000000006</c:v>
                </c:pt>
                <c:pt idx="203">
                  <c:v>-77.095399</c:v>
                </c:pt>
                <c:pt idx="204">
                  <c:v>-77.095543000000006</c:v>
                </c:pt>
                <c:pt idx="205">
                  <c:v>-77.095633000000007</c:v>
                </c:pt>
                <c:pt idx="206">
                  <c:v>-77.095681999999996</c:v>
                </c:pt>
                <c:pt idx="207">
                  <c:v>-77.095692999999997</c:v>
                </c:pt>
                <c:pt idx="208">
                  <c:v>-77.095716999999993</c:v>
                </c:pt>
                <c:pt idx="209">
                  <c:v>-77.095843000000002</c:v>
                </c:pt>
                <c:pt idx="210">
                  <c:v>-77.096012000000002</c:v>
                </c:pt>
                <c:pt idx="211">
                  <c:v>-77.096031999999994</c:v>
                </c:pt>
                <c:pt idx="212">
                  <c:v>-77.096171999999996</c:v>
                </c:pt>
                <c:pt idx="213">
                  <c:v>-77.096207000000007</c:v>
                </c:pt>
                <c:pt idx="214">
                  <c:v>-77.096340999999995</c:v>
                </c:pt>
                <c:pt idx="215">
                  <c:v>-77.096361000000002</c:v>
                </c:pt>
                <c:pt idx="216">
                  <c:v>-77.096352999999993</c:v>
                </c:pt>
                <c:pt idx="217">
                  <c:v>-77.096423000000001</c:v>
                </c:pt>
                <c:pt idx="218">
                  <c:v>-77.096442999999994</c:v>
                </c:pt>
                <c:pt idx="219">
                  <c:v>-77.096472000000006</c:v>
                </c:pt>
                <c:pt idx="220">
                  <c:v>-77.096570999999997</c:v>
                </c:pt>
                <c:pt idx="221">
                  <c:v>-77.096632999999997</c:v>
                </c:pt>
                <c:pt idx="222">
                  <c:v>-77.096632</c:v>
                </c:pt>
                <c:pt idx="223">
                  <c:v>-77.096661999999995</c:v>
                </c:pt>
                <c:pt idx="224">
                  <c:v>-77.096891999999997</c:v>
                </c:pt>
                <c:pt idx="225">
                  <c:v>-77.096895000000004</c:v>
                </c:pt>
                <c:pt idx="226">
                  <c:v>-77.096891999999997</c:v>
                </c:pt>
                <c:pt idx="227">
                  <c:v>-77.096991000000003</c:v>
                </c:pt>
                <c:pt idx="228">
                  <c:v>-77.097042999999999</c:v>
                </c:pt>
                <c:pt idx="229">
                  <c:v>-77.097070000000002</c:v>
                </c:pt>
                <c:pt idx="230">
                  <c:v>-77.097121000000001</c:v>
                </c:pt>
                <c:pt idx="231">
                  <c:v>-77.097301000000002</c:v>
                </c:pt>
                <c:pt idx="232">
                  <c:v>-77.097481999999999</c:v>
                </c:pt>
                <c:pt idx="233">
                  <c:v>-77.097532999999999</c:v>
                </c:pt>
                <c:pt idx="234">
                  <c:v>-77.097551999999993</c:v>
                </c:pt>
                <c:pt idx="235">
                  <c:v>-77.098533000000003</c:v>
                </c:pt>
                <c:pt idx="236">
                  <c:v>-77.098533000000003</c:v>
                </c:pt>
                <c:pt idx="237">
                  <c:v>-77.098572000000004</c:v>
                </c:pt>
                <c:pt idx="238">
                  <c:v>-77.09881</c:v>
                </c:pt>
                <c:pt idx="239">
                  <c:v>-77.098842000000005</c:v>
                </c:pt>
                <c:pt idx="240">
                  <c:v>-77.099500000000006</c:v>
                </c:pt>
                <c:pt idx="241">
                  <c:v>-77.099970999999996</c:v>
                </c:pt>
                <c:pt idx="242">
                  <c:v>-77.100165000000004</c:v>
                </c:pt>
                <c:pt idx="243">
                  <c:v>-77.100182000000004</c:v>
                </c:pt>
                <c:pt idx="244">
                  <c:v>-77.100363000000002</c:v>
                </c:pt>
                <c:pt idx="245">
                  <c:v>-77.100921</c:v>
                </c:pt>
                <c:pt idx="246">
                  <c:v>-77.101552999999996</c:v>
                </c:pt>
                <c:pt idx="247">
                  <c:v>-77.102051000000003</c:v>
                </c:pt>
                <c:pt idx="248">
                  <c:v>-77.102591000000004</c:v>
                </c:pt>
                <c:pt idx="249">
                  <c:v>-77.102637000000001</c:v>
                </c:pt>
                <c:pt idx="250">
                  <c:v>-77.097226000000006</c:v>
                </c:pt>
                <c:pt idx="251">
                  <c:v>-77.097031000000001</c:v>
                </c:pt>
                <c:pt idx="252">
                  <c:v>-77.097031000000001</c:v>
                </c:pt>
                <c:pt idx="253">
                  <c:v>-77.098510000000005</c:v>
                </c:pt>
                <c:pt idx="254">
                  <c:v>-77.098513999999994</c:v>
                </c:pt>
                <c:pt idx="255">
                  <c:v>-77.101104000000007</c:v>
                </c:pt>
                <c:pt idx="256">
                  <c:v>-77.101930999999993</c:v>
                </c:pt>
                <c:pt idx="257">
                  <c:v>-77.102160999999995</c:v>
                </c:pt>
                <c:pt idx="258">
                  <c:v>-77.102312999999995</c:v>
                </c:pt>
                <c:pt idx="259">
                  <c:v>-77.102452</c:v>
                </c:pt>
                <c:pt idx="260">
                  <c:v>-77.102530999999999</c:v>
                </c:pt>
                <c:pt idx="261">
                  <c:v>-77.102583999999993</c:v>
                </c:pt>
                <c:pt idx="262">
                  <c:v>-77.102530999999999</c:v>
                </c:pt>
                <c:pt idx="263">
                  <c:v>-77.103149999999999</c:v>
                </c:pt>
                <c:pt idx="264">
                  <c:v>-77.103290999999999</c:v>
                </c:pt>
                <c:pt idx="265">
                  <c:v>-77.103521000000001</c:v>
                </c:pt>
                <c:pt idx="266">
                  <c:v>-77.103527999999997</c:v>
                </c:pt>
                <c:pt idx="267">
                  <c:v>-77.104381000000004</c:v>
                </c:pt>
                <c:pt idx="268">
                  <c:v>-77.104836000000006</c:v>
                </c:pt>
                <c:pt idx="269">
                  <c:v>-77.104800999999995</c:v>
                </c:pt>
                <c:pt idx="270">
                  <c:v>-77.104940999999997</c:v>
                </c:pt>
                <c:pt idx="271">
                  <c:v>-77.105532999999994</c:v>
                </c:pt>
                <c:pt idx="272">
                  <c:v>-77.105881999999994</c:v>
                </c:pt>
                <c:pt idx="273">
                  <c:v>-77.106221000000005</c:v>
                </c:pt>
                <c:pt idx="274">
                  <c:v>-77.106267000000003</c:v>
                </c:pt>
                <c:pt idx="275">
                  <c:v>-77.106288000000006</c:v>
                </c:pt>
                <c:pt idx="276">
                  <c:v>-77.107043000000004</c:v>
                </c:pt>
                <c:pt idx="277">
                  <c:v>-77.107552999999996</c:v>
                </c:pt>
                <c:pt idx="278">
                  <c:v>-77.107671999999994</c:v>
                </c:pt>
                <c:pt idx="279">
                  <c:v>-77.107716999999994</c:v>
                </c:pt>
                <c:pt idx="280">
                  <c:v>-77.107737999999998</c:v>
                </c:pt>
                <c:pt idx="281">
                  <c:v>-77.107761999999994</c:v>
                </c:pt>
                <c:pt idx="282">
                  <c:v>-77.108092999999997</c:v>
                </c:pt>
                <c:pt idx="283">
                  <c:v>-77.108221</c:v>
                </c:pt>
                <c:pt idx="284">
                  <c:v>-77.108393000000007</c:v>
                </c:pt>
                <c:pt idx="285">
                  <c:v>-77.108661999999995</c:v>
                </c:pt>
                <c:pt idx="286">
                  <c:v>-77.108772999999999</c:v>
                </c:pt>
                <c:pt idx="287">
                  <c:v>-77.108823000000001</c:v>
                </c:pt>
                <c:pt idx="288">
                  <c:v>-77.108825999999993</c:v>
                </c:pt>
                <c:pt idx="289">
                  <c:v>-77.108772999999999</c:v>
                </c:pt>
                <c:pt idx="290">
                  <c:v>-77.108992999999998</c:v>
                </c:pt>
                <c:pt idx="291">
                  <c:v>-77.109100999999995</c:v>
                </c:pt>
                <c:pt idx="292">
                  <c:v>-77.109076000000002</c:v>
                </c:pt>
                <c:pt idx="293">
                  <c:v>-77.109100999999995</c:v>
                </c:pt>
                <c:pt idx="294">
                  <c:v>-77.109352000000001</c:v>
                </c:pt>
                <c:pt idx="295">
                  <c:v>-77.109319999999997</c:v>
                </c:pt>
                <c:pt idx="296">
                  <c:v>-77.109352000000001</c:v>
                </c:pt>
                <c:pt idx="297">
                  <c:v>-77.109522999999996</c:v>
                </c:pt>
                <c:pt idx="298">
                  <c:v>-77.109630999999993</c:v>
                </c:pt>
                <c:pt idx="299">
                  <c:v>-77.109851000000006</c:v>
                </c:pt>
                <c:pt idx="300">
                  <c:v>-77.109913000000006</c:v>
                </c:pt>
                <c:pt idx="301">
                  <c:v>-77.109971999999999</c:v>
                </c:pt>
                <c:pt idx="302">
                  <c:v>-77.110073</c:v>
                </c:pt>
                <c:pt idx="303">
                  <c:v>-77.110161000000005</c:v>
                </c:pt>
                <c:pt idx="304">
                  <c:v>-77.110242</c:v>
                </c:pt>
                <c:pt idx="305">
                  <c:v>-77.110341000000005</c:v>
                </c:pt>
                <c:pt idx="306">
                  <c:v>-77.110322999999994</c:v>
                </c:pt>
                <c:pt idx="307">
                  <c:v>-77.110341000000005</c:v>
                </c:pt>
                <c:pt idx="308">
                  <c:v>-77.110242</c:v>
                </c:pt>
                <c:pt idx="309">
                  <c:v>-77.110161000000005</c:v>
                </c:pt>
                <c:pt idx="310">
                  <c:v>-77.110073</c:v>
                </c:pt>
                <c:pt idx="311">
                  <c:v>-77.109909999999999</c:v>
                </c:pt>
                <c:pt idx="312">
                  <c:v>-77.110181999999995</c:v>
                </c:pt>
                <c:pt idx="313">
                  <c:v>-77.110401999999993</c:v>
                </c:pt>
                <c:pt idx="314">
                  <c:v>-77.110579999999999</c:v>
                </c:pt>
                <c:pt idx="315">
                  <c:v>-77.110720999999998</c:v>
                </c:pt>
                <c:pt idx="316">
                  <c:v>-77.110917000000001</c:v>
                </c:pt>
                <c:pt idx="317">
                  <c:v>-77.110889</c:v>
                </c:pt>
                <c:pt idx="318">
                  <c:v>-77.110992999999993</c:v>
                </c:pt>
                <c:pt idx="319">
                  <c:v>-77.111700999999996</c:v>
                </c:pt>
                <c:pt idx="320">
                  <c:v>-77.111795999999998</c:v>
                </c:pt>
                <c:pt idx="321">
                  <c:v>-77.111813999999995</c:v>
                </c:pt>
                <c:pt idx="322">
                  <c:v>-77.111832000000007</c:v>
                </c:pt>
                <c:pt idx="323">
                  <c:v>-77.112060999999997</c:v>
                </c:pt>
                <c:pt idx="324">
                  <c:v>-77.112420999999998</c:v>
                </c:pt>
                <c:pt idx="325">
                  <c:v>-77.112900999999994</c:v>
                </c:pt>
                <c:pt idx="326">
                  <c:v>-77.113540999999998</c:v>
                </c:pt>
                <c:pt idx="327">
                  <c:v>-77.113589000000005</c:v>
                </c:pt>
                <c:pt idx="328">
                  <c:v>-77.11354</c:v>
                </c:pt>
                <c:pt idx="329">
                  <c:v>-77.114841999999996</c:v>
                </c:pt>
                <c:pt idx="330">
                  <c:v>-77.114721000000003</c:v>
                </c:pt>
                <c:pt idx="331">
                  <c:v>-77.114766000000003</c:v>
                </c:pt>
                <c:pt idx="332">
                  <c:v>-77.114818999999997</c:v>
                </c:pt>
                <c:pt idx="333">
                  <c:v>-77.115333000000007</c:v>
                </c:pt>
                <c:pt idx="334">
                  <c:v>-77.116270999999998</c:v>
                </c:pt>
                <c:pt idx="335">
                  <c:v>-77.116721999999996</c:v>
                </c:pt>
                <c:pt idx="336">
                  <c:v>-77.117135000000005</c:v>
                </c:pt>
                <c:pt idx="337">
                  <c:v>-77.117205999999996</c:v>
                </c:pt>
                <c:pt idx="338">
                  <c:v>-77.117200999999994</c:v>
                </c:pt>
                <c:pt idx="339">
                  <c:v>-77.117655999999997</c:v>
                </c:pt>
                <c:pt idx="340">
                  <c:v>-77.117609999999999</c:v>
                </c:pt>
                <c:pt idx="341">
                  <c:v>-77.118042000000003</c:v>
                </c:pt>
                <c:pt idx="342">
                  <c:v>-77.118260000000006</c:v>
                </c:pt>
                <c:pt idx="343">
                  <c:v>-77.118449999999996</c:v>
                </c:pt>
                <c:pt idx="344">
                  <c:v>-77.118630999999993</c:v>
                </c:pt>
                <c:pt idx="345">
                  <c:v>-77.118730999999997</c:v>
                </c:pt>
                <c:pt idx="346">
                  <c:v>-77.119021000000004</c:v>
                </c:pt>
                <c:pt idx="347">
                  <c:v>-77.119094000000004</c:v>
                </c:pt>
                <c:pt idx="348">
                  <c:v>-77.119532000000007</c:v>
                </c:pt>
                <c:pt idx="349">
                  <c:v>-77.119749999999996</c:v>
                </c:pt>
                <c:pt idx="350">
                  <c:v>-77.119692999999998</c:v>
                </c:pt>
                <c:pt idx="351">
                  <c:v>-77.119843000000003</c:v>
                </c:pt>
                <c:pt idx="352">
                  <c:v>-77.120091000000002</c:v>
                </c:pt>
                <c:pt idx="353">
                  <c:v>-77.120450000000005</c:v>
                </c:pt>
                <c:pt idx="354">
                  <c:v>-77.120502000000002</c:v>
                </c:pt>
                <c:pt idx="355">
                  <c:v>-77.120562000000007</c:v>
                </c:pt>
                <c:pt idx="356">
                  <c:v>-77.120740999999995</c:v>
                </c:pt>
                <c:pt idx="357">
                  <c:v>-77.121256000000002</c:v>
                </c:pt>
                <c:pt idx="358">
                  <c:v>-77.121334000000004</c:v>
                </c:pt>
                <c:pt idx="359">
                  <c:v>-77.121342999999996</c:v>
                </c:pt>
                <c:pt idx="360">
                  <c:v>-77.121962999999994</c:v>
                </c:pt>
                <c:pt idx="361">
                  <c:v>-77.122067000000001</c:v>
                </c:pt>
                <c:pt idx="362">
                  <c:v>-77.122011000000001</c:v>
                </c:pt>
                <c:pt idx="363">
                  <c:v>-77.122230000000002</c:v>
                </c:pt>
                <c:pt idx="364">
                  <c:v>-77.122919999999993</c:v>
                </c:pt>
                <c:pt idx="365">
                  <c:v>-77.123429999999999</c:v>
                </c:pt>
                <c:pt idx="366">
                  <c:v>-77.123475999999997</c:v>
                </c:pt>
                <c:pt idx="367">
                  <c:v>-77.123490000000004</c:v>
                </c:pt>
                <c:pt idx="368">
                  <c:v>-77.104393999999999</c:v>
                </c:pt>
                <c:pt idx="369">
                  <c:v>-77.104552999999996</c:v>
                </c:pt>
                <c:pt idx="370">
                  <c:v>-77.104609999999994</c:v>
                </c:pt>
                <c:pt idx="371">
                  <c:v>-77.105873000000003</c:v>
                </c:pt>
                <c:pt idx="372">
                  <c:v>-77.106272000000004</c:v>
                </c:pt>
                <c:pt idx="373">
                  <c:v>-77.106550999999996</c:v>
                </c:pt>
                <c:pt idx="374">
                  <c:v>-77.106831</c:v>
                </c:pt>
                <c:pt idx="375">
                  <c:v>-77.107132000000007</c:v>
                </c:pt>
                <c:pt idx="376">
                  <c:v>-77.107681999999997</c:v>
                </c:pt>
                <c:pt idx="377">
                  <c:v>-77.108031999999994</c:v>
                </c:pt>
                <c:pt idx="378">
                  <c:v>-77.108452999999997</c:v>
                </c:pt>
                <c:pt idx="379">
                  <c:v>-77.109261000000004</c:v>
                </c:pt>
                <c:pt idx="380">
                  <c:v>-77.110579999999999</c:v>
                </c:pt>
                <c:pt idx="381">
                  <c:v>-77.110401999999993</c:v>
                </c:pt>
                <c:pt idx="382">
                  <c:v>-77.110181999999995</c:v>
                </c:pt>
                <c:pt idx="383">
                  <c:v>-77.109909999999999</c:v>
                </c:pt>
                <c:pt idx="384">
                  <c:v>-77.110073</c:v>
                </c:pt>
                <c:pt idx="385">
                  <c:v>-77.110161000000005</c:v>
                </c:pt>
                <c:pt idx="386">
                  <c:v>-77.110242</c:v>
                </c:pt>
                <c:pt idx="387">
                  <c:v>-77.110341000000005</c:v>
                </c:pt>
                <c:pt idx="388">
                  <c:v>-77.110523000000001</c:v>
                </c:pt>
                <c:pt idx="389">
                  <c:v>-77.110731999999999</c:v>
                </c:pt>
                <c:pt idx="390">
                  <c:v>-77.110753000000003</c:v>
                </c:pt>
                <c:pt idx="391">
                  <c:v>-77.110724000000005</c:v>
                </c:pt>
                <c:pt idx="392">
                  <c:v>-77.125287</c:v>
                </c:pt>
                <c:pt idx="393">
                  <c:v>-77.125421000000003</c:v>
                </c:pt>
                <c:pt idx="394">
                  <c:v>-77.125397000000007</c:v>
                </c:pt>
                <c:pt idx="395">
                  <c:v>-77.125421000000003</c:v>
                </c:pt>
                <c:pt idx="396">
                  <c:v>-77.126302999999993</c:v>
                </c:pt>
                <c:pt idx="397">
                  <c:v>-77.127221000000006</c:v>
                </c:pt>
                <c:pt idx="398">
                  <c:v>-77.127830000000003</c:v>
                </c:pt>
                <c:pt idx="399">
                  <c:v>-77.128371999999999</c:v>
                </c:pt>
                <c:pt idx="400">
                  <c:v>-77.128358000000006</c:v>
                </c:pt>
                <c:pt idx="401">
                  <c:v>-77.128532000000007</c:v>
                </c:pt>
                <c:pt idx="402">
                  <c:v>-77.129013</c:v>
                </c:pt>
                <c:pt idx="403">
                  <c:v>-77.129599999999996</c:v>
                </c:pt>
                <c:pt idx="404">
                  <c:v>-77.130661000000003</c:v>
                </c:pt>
                <c:pt idx="405">
                  <c:v>-77.130432999999996</c:v>
                </c:pt>
                <c:pt idx="406">
                  <c:v>-77.130280999999997</c:v>
                </c:pt>
                <c:pt idx="407">
                  <c:v>-77.130270999999993</c:v>
                </c:pt>
                <c:pt idx="408">
                  <c:v>-77.130432999999996</c:v>
                </c:pt>
                <c:pt idx="409">
                  <c:v>-77.130661000000003</c:v>
                </c:pt>
                <c:pt idx="410">
                  <c:v>-77.131471000000005</c:v>
                </c:pt>
                <c:pt idx="411">
                  <c:v>-77.131901999999997</c:v>
                </c:pt>
                <c:pt idx="412">
                  <c:v>-77.132231000000004</c:v>
                </c:pt>
                <c:pt idx="413">
                  <c:v>-77.132351</c:v>
                </c:pt>
                <c:pt idx="414">
                  <c:v>-77.132733000000002</c:v>
                </c:pt>
                <c:pt idx="415">
                  <c:v>-77.133211000000003</c:v>
                </c:pt>
                <c:pt idx="416">
                  <c:v>-77.134379999999993</c:v>
                </c:pt>
                <c:pt idx="417">
                  <c:v>-77.134883000000002</c:v>
                </c:pt>
                <c:pt idx="418">
                  <c:v>-77.134951000000001</c:v>
                </c:pt>
                <c:pt idx="419">
                  <c:v>-77.134883000000002</c:v>
                </c:pt>
                <c:pt idx="420">
                  <c:v>-77.135031999999995</c:v>
                </c:pt>
                <c:pt idx="421">
                  <c:v>-77.135221999999999</c:v>
                </c:pt>
                <c:pt idx="422">
                  <c:v>-77.135340999999997</c:v>
                </c:pt>
                <c:pt idx="423">
                  <c:v>-77.135506000000007</c:v>
                </c:pt>
                <c:pt idx="424">
                  <c:v>-77.135613000000006</c:v>
                </c:pt>
                <c:pt idx="425">
                  <c:v>-77.135740999999996</c:v>
                </c:pt>
                <c:pt idx="426">
                  <c:v>-77.136050999999995</c:v>
                </c:pt>
                <c:pt idx="427">
                  <c:v>-77.136719999999997</c:v>
                </c:pt>
                <c:pt idx="428">
                  <c:v>-77.136810999999994</c:v>
                </c:pt>
                <c:pt idx="429">
                  <c:v>-77.136849999999995</c:v>
                </c:pt>
                <c:pt idx="430">
                  <c:v>-77.136893000000001</c:v>
                </c:pt>
                <c:pt idx="431">
                  <c:v>-77.137360999999999</c:v>
                </c:pt>
                <c:pt idx="432">
                  <c:v>-77.137477000000004</c:v>
                </c:pt>
                <c:pt idx="433">
                  <c:v>-77.137663000000003</c:v>
                </c:pt>
                <c:pt idx="434">
                  <c:v>-77.138192000000004</c:v>
                </c:pt>
                <c:pt idx="435">
                  <c:v>-77.138480000000001</c:v>
                </c:pt>
                <c:pt idx="436">
                  <c:v>-77.139000999999993</c:v>
                </c:pt>
                <c:pt idx="437">
                  <c:v>-77.139140999999995</c:v>
                </c:pt>
                <c:pt idx="438">
                  <c:v>-77.139493000000002</c:v>
                </c:pt>
                <c:pt idx="439">
                  <c:v>-77.139993000000004</c:v>
                </c:pt>
                <c:pt idx="440">
                  <c:v>-77.140722999999994</c:v>
                </c:pt>
                <c:pt idx="441">
                  <c:v>-77.141323</c:v>
                </c:pt>
                <c:pt idx="442">
                  <c:v>-77.141574000000006</c:v>
                </c:pt>
                <c:pt idx="443">
                  <c:v>-77.141711999999998</c:v>
                </c:pt>
                <c:pt idx="444">
                  <c:v>-77.141863000000001</c:v>
                </c:pt>
                <c:pt idx="445">
                  <c:v>-77.142960000000002</c:v>
                </c:pt>
                <c:pt idx="446">
                  <c:v>-77.143983000000006</c:v>
                </c:pt>
                <c:pt idx="447">
                  <c:v>-77.144001000000003</c:v>
                </c:pt>
                <c:pt idx="448">
                  <c:v>-77.143983000000006</c:v>
                </c:pt>
                <c:pt idx="449">
                  <c:v>-77.144692000000006</c:v>
                </c:pt>
                <c:pt idx="450">
                  <c:v>-77.145572000000001</c:v>
                </c:pt>
                <c:pt idx="451">
                  <c:v>-77.145923999999994</c:v>
                </c:pt>
                <c:pt idx="452">
                  <c:v>-77.146062000000001</c:v>
                </c:pt>
                <c:pt idx="453">
                  <c:v>-77.145906999999994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0550376"/>
        <c:axId val="750549984"/>
      </c:scatterChart>
      <c:valAx>
        <c:axId val="75055037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50549984"/>
        <c:crosses val="autoZero"/>
        <c:crossBetween val="midCat"/>
        <c:majorUnit val="1.0000000000000002E-2"/>
      </c:valAx>
      <c:valAx>
        <c:axId val="750549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50550376"/>
        <c:crosses val="autoZero"/>
        <c:crossBetween val="midCat"/>
        <c:majorUnit val="1.0000000000000002E-2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447675</xdr:colOff>
          <xdr:row>3</xdr:row>
          <xdr:rowOff>171450</xdr:rowOff>
        </xdr:from>
        <xdr:to>
          <xdr:col>2</xdr:col>
          <xdr:colOff>2286000</xdr:colOff>
          <xdr:row>3</xdr:row>
          <xdr:rowOff>552450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Select File(s) to Active Cell (and cells bellow)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</xdr:row>
          <xdr:rowOff>76200</xdr:rowOff>
        </xdr:from>
        <xdr:to>
          <xdr:col>2</xdr:col>
          <xdr:colOff>2276475</xdr:colOff>
          <xdr:row>1</xdr:row>
          <xdr:rowOff>409575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Select Standard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3</xdr:row>
          <xdr:rowOff>828675</xdr:rowOff>
        </xdr:from>
        <xdr:to>
          <xdr:col>2</xdr:col>
          <xdr:colOff>2305050</xdr:colOff>
          <xdr:row>3</xdr:row>
          <xdr:rowOff>1209675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Select worksheet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(in open workbooks)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</xdr:row>
          <xdr:rowOff>200025</xdr:rowOff>
        </xdr:from>
        <xdr:to>
          <xdr:col>5</xdr:col>
          <xdr:colOff>1562100</xdr:colOff>
          <xdr:row>3</xdr:row>
          <xdr:rowOff>1238250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Run... 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0</xdr:row>
          <xdr:rowOff>123825</xdr:rowOff>
        </xdr:from>
        <xdr:to>
          <xdr:col>5</xdr:col>
          <xdr:colOff>0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GTFS!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22</xdr:row>
      <xdr:rowOff>47625</xdr:rowOff>
    </xdr:from>
    <xdr:to>
      <xdr:col>9</xdr:col>
      <xdr:colOff>85725</xdr:colOff>
      <xdr:row>34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352425</xdr:colOff>
      <xdr:row>9</xdr:row>
      <xdr:rowOff>9525</xdr:rowOff>
    </xdr:from>
    <xdr:to>
      <xdr:col>18</xdr:col>
      <xdr:colOff>247650</xdr:colOff>
      <xdr:row>34</xdr:row>
      <xdr:rowOff>104776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4</xdr:row>
      <xdr:rowOff>85725</xdr:rowOff>
    </xdr:from>
    <xdr:to>
      <xdr:col>18</xdr:col>
      <xdr:colOff>333375</xdr:colOff>
      <xdr:row>26</xdr:row>
      <xdr:rowOff>142875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76201</xdr:colOff>
      <xdr:row>496</xdr:row>
      <xdr:rowOff>104775</xdr:rowOff>
    </xdr:from>
    <xdr:to>
      <xdr:col>12</xdr:col>
      <xdr:colOff>123825</xdr:colOff>
      <xdr:row>531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461962</xdr:colOff>
      <xdr:row>496</xdr:row>
      <xdr:rowOff>109537</xdr:rowOff>
    </xdr:from>
    <xdr:to>
      <xdr:col>15</xdr:col>
      <xdr:colOff>428625</xdr:colOff>
      <xdr:row>531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G20"/>
  <sheetViews>
    <sheetView tabSelected="1" topLeftCell="B1" workbookViewId="0">
      <selection activeCell="F17" sqref="F17"/>
    </sheetView>
  </sheetViews>
  <sheetFormatPr defaultRowHeight="15" x14ac:dyDescent="0.25"/>
  <cols>
    <col min="1" max="1" width="9.140625" style="28"/>
    <col min="2" max="2" width="23.42578125" style="28" customWidth="1"/>
    <col min="3" max="3" width="75.85546875" style="28" customWidth="1"/>
    <col min="4" max="4" width="10.42578125" style="28" customWidth="1"/>
    <col min="5" max="5" width="8.85546875" style="28" customWidth="1"/>
    <col min="6" max="6" width="26.7109375" style="29" customWidth="1"/>
    <col min="7" max="7" width="12.85546875" style="28" customWidth="1"/>
    <col min="8" max="8" width="23.140625" style="28" customWidth="1"/>
    <col min="9" max="9" width="4.28515625" style="28" customWidth="1"/>
    <col min="10" max="16384" width="9.140625" style="28"/>
  </cols>
  <sheetData>
    <row r="2" spans="1:7" ht="39.75" customHeight="1" x14ac:dyDescent="0.25"/>
    <row r="3" spans="1:7" x14ac:dyDescent="0.25">
      <c r="B3" s="30" t="s">
        <v>197</v>
      </c>
      <c r="C3" s="28" t="s">
        <v>198</v>
      </c>
    </row>
    <row r="4" spans="1:7" ht="112.5" customHeight="1" x14ac:dyDescent="0.25"/>
    <row r="5" spans="1:7" s="31" customFormat="1" ht="30" x14ac:dyDescent="0.2">
      <c r="B5" s="32" t="s">
        <v>199</v>
      </c>
      <c r="C5" s="32" t="s">
        <v>200</v>
      </c>
      <c r="D5" s="32" t="s">
        <v>201</v>
      </c>
      <c r="E5" s="32" t="s">
        <v>202</v>
      </c>
      <c r="F5" s="33"/>
    </row>
    <row r="6" spans="1:7" x14ac:dyDescent="0.25">
      <c r="A6" s="28">
        <v>1</v>
      </c>
      <c r="B6" s="28" t="s">
        <v>203</v>
      </c>
      <c r="C6" s="28" t="s">
        <v>204</v>
      </c>
      <c r="E6" s="34" t="s">
        <v>188</v>
      </c>
      <c r="G6" s="28" t="s">
        <v>205</v>
      </c>
    </row>
    <row r="7" spans="1:7" x14ac:dyDescent="0.25">
      <c r="A7" s="28">
        <v>2</v>
      </c>
      <c r="B7" s="28" t="s">
        <v>203</v>
      </c>
      <c r="C7" s="28" t="s">
        <v>206</v>
      </c>
      <c r="E7" s="34"/>
    </row>
    <row r="8" spans="1:7" x14ac:dyDescent="0.25">
      <c r="A8" s="28">
        <v>3</v>
      </c>
      <c r="B8" s="28" t="s">
        <v>203</v>
      </c>
      <c r="C8" s="28" t="s">
        <v>207</v>
      </c>
      <c r="E8" s="34"/>
    </row>
    <row r="9" spans="1:7" x14ac:dyDescent="0.25">
      <c r="A9" s="28">
        <v>4</v>
      </c>
      <c r="B9" s="28" t="s">
        <v>208</v>
      </c>
      <c r="C9" s="28" t="s">
        <v>209</v>
      </c>
      <c r="E9" s="34"/>
    </row>
    <row r="10" spans="1:7" x14ac:dyDescent="0.25">
      <c r="A10" s="28">
        <v>5</v>
      </c>
      <c r="B10" s="28" t="s">
        <v>210</v>
      </c>
      <c r="C10" s="28" t="s">
        <v>211</v>
      </c>
      <c r="E10" s="34"/>
    </row>
    <row r="11" spans="1:7" x14ac:dyDescent="0.25">
      <c r="A11" s="28">
        <v>6</v>
      </c>
      <c r="B11" s="28" t="s">
        <v>212</v>
      </c>
      <c r="C11" s="28" t="s">
        <v>213</v>
      </c>
      <c r="E11" s="34"/>
    </row>
    <row r="12" spans="1:7" x14ac:dyDescent="0.25">
      <c r="A12" s="28">
        <v>7</v>
      </c>
      <c r="B12" s="28" t="s">
        <v>214</v>
      </c>
      <c r="C12" s="28" t="s">
        <v>215</v>
      </c>
      <c r="E12" s="34"/>
    </row>
    <row r="13" spans="1:7" x14ac:dyDescent="0.25">
      <c r="A13" s="28">
        <v>8</v>
      </c>
      <c r="B13" s="28" t="s">
        <v>216</v>
      </c>
      <c r="C13" s="28" t="s">
        <v>217</v>
      </c>
      <c r="E13" s="34" t="s">
        <v>188</v>
      </c>
    </row>
    <row r="14" spans="1:7" x14ac:dyDescent="0.25">
      <c r="A14" s="28">
        <v>9</v>
      </c>
      <c r="B14" s="28" t="s">
        <v>218</v>
      </c>
      <c r="E14" s="34"/>
    </row>
    <row r="15" spans="1:7" x14ac:dyDescent="0.25">
      <c r="A15" s="28">
        <v>10</v>
      </c>
      <c r="B15" s="28" t="s">
        <v>219</v>
      </c>
      <c r="C15" s="28" t="s">
        <v>220</v>
      </c>
      <c r="E15" s="34"/>
    </row>
    <row r="16" spans="1:7" x14ac:dyDescent="0.25">
      <c r="A16" s="28">
        <v>11</v>
      </c>
      <c r="B16" s="28" t="s">
        <v>221</v>
      </c>
      <c r="E16" s="34"/>
    </row>
    <row r="17" spans="1:5" x14ac:dyDescent="0.25">
      <c r="A17" s="28">
        <v>12</v>
      </c>
      <c r="B17" s="28" t="s">
        <v>222</v>
      </c>
      <c r="E17" s="34"/>
    </row>
    <row r="18" spans="1:5" x14ac:dyDescent="0.25">
      <c r="A18" s="28">
        <v>13</v>
      </c>
      <c r="B18" s="28" t="s">
        <v>223</v>
      </c>
      <c r="E18" s="34"/>
    </row>
    <row r="19" spans="1:5" x14ac:dyDescent="0.25">
      <c r="A19" s="28">
        <v>14</v>
      </c>
      <c r="B19" s="28" t="s">
        <v>224</v>
      </c>
      <c r="E19" s="34"/>
    </row>
    <row r="20" spans="1:5" x14ac:dyDescent="0.25">
      <c r="A20" s="28">
        <v>15</v>
      </c>
      <c r="B20" s="28" t="s">
        <v>225</v>
      </c>
      <c r="E20" s="34"/>
    </row>
  </sheetData>
  <sheetProtection formatCells="0" formatColumns="0" formatRows="0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>
                <anchor moveWithCells="1" sizeWithCells="1">
                  <from>
                    <xdr:col>2</xdr:col>
                    <xdr:colOff>447675</xdr:colOff>
                    <xdr:row>3</xdr:row>
                    <xdr:rowOff>171450</xdr:rowOff>
                  </from>
                  <to>
                    <xdr:col>2</xdr:col>
                    <xdr:colOff>2286000</xdr:colOff>
                    <xdr:row>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>
                <anchor moveWithCells="1" sizeWithCells="1">
                  <from>
                    <xdr:col>2</xdr:col>
                    <xdr:colOff>457200</xdr:colOff>
                    <xdr:row>1</xdr:row>
                    <xdr:rowOff>76200</xdr:rowOff>
                  </from>
                  <to>
                    <xdr:col>2</xdr:col>
                    <xdr:colOff>2276475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>
                <anchor moveWithCells="1" sizeWithCells="1">
                  <from>
                    <xdr:col>2</xdr:col>
                    <xdr:colOff>466725</xdr:colOff>
                    <xdr:row>3</xdr:row>
                    <xdr:rowOff>828675</xdr:rowOff>
                  </from>
                  <to>
                    <xdr:col>2</xdr:col>
                    <xdr:colOff>2305050</xdr:colOff>
                    <xdr:row>3</xdr:row>
                    <xdr:rowOff>1209675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Run_Assistant">
                <anchor moveWithCells="1" sizeWithCells="1">
                  <from>
                    <xdr:col>5</xdr:col>
                    <xdr:colOff>257175</xdr:colOff>
                    <xdr:row>3</xdr:row>
                    <xdr:rowOff>200025</xdr:rowOff>
                  </from>
                  <to>
                    <xdr:col>5</xdr:col>
                    <xdr:colOff>1562100</xdr:colOff>
                    <xdr:row>3</xdr:row>
                    <xdr:rowOff>1238250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280"/>
  <sheetViews>
    <sheetView zoomScaleNormal="100" workbookViewId="0"/>
  </sheetViews>
  <sheetFormatPr defaultRowHeight="12.75" x14ac:dyDescent="0.2"/>
  <cols>
    <col min="1" max="1" width="18.85546875" customWidth="1"/>
    <col min="2" max="2" width="22.28515625" customWidth="1"/>
    <col min="3" max="3" width="74.85546875" customWidth="1"/>
    <col min="5" max="5" width="18.7109375" customWidth="1"/>
    <col min="6" max="6" width="10.140625" bestFit="1" customWidth="1"/>
    <col min="7" max="7" width="14.42578125" bestFit="1" customWidth="1"/>
  </cols>
  <sheetData>
    <row r="1" spans="2:17" s="3" customFormat="1" x14ac:dyDescent="0.2"/>
    <row r="2" spans="2:17" x14ac:dyDescent="0.2">
      <c r="B2" t="s">
        <v>238</v>
      </c>
      <c r="D2">
        <v>11</v>
      </c>
      <c r="E2" s="3"/>
      <c r="F2" s="3" t="s">
        <v>52</v>
      </c>
      <c r="G2" s="3" t="s">
        <v>53</v>
      </c>
    </row>
    <row r="3" spans="2:17" s="3" customFormat="1" x14ac:dyDescent="0.2"/>
    <row r="4" spans="2:17" s="3" customFormat="1" x14ac:dyDescent="0.2">
      <c r="B4" s="1" t="s">
        <v>119</v>
      </c>
      <c r="C4" s="1" t="s">
        <v>231</v>
      </c>
      <c r="F4" s="3">
        <v>1379</v>
      </c>
      <c r="G4" s="3">
        <v>1395</v>
      </c>
    </row>
    <row r="5" spans="2:17" s="3" customFormat="1" x14ac:dyDescent="0.2">
      <c r="B5" s="1" t="s">
        <v>120</v>
      </c>
      <c r="C5" s="1" t="s">
        <v>232</v>
      </c>
      <c r="Q5" s="3">
        <v>756291</v>
      </c>
    </row>
    <row r="6" spans="2:17" s="3" customFormat="1" x14ac:dyDescent="0.2">
      <c r="B6" s="16" t="s">
        <v>29</v>
      </c>
      <c r="C6" s="1" t="s">
        <v>34</v>
      </c>
      <c r="Q6" s="1" t="s">
        <v>135</v>
      </c>
    </row>
    <row r="7" spans="2:17" s="3" customFormat="1" x14ac:dyDescent="0.2">
      <c r="B7" s="16" t="s">
        <v>29</v>
      </c>
      <c r="C7" s="1" t="s">
        <v>36</v>
      </c>
    </row>
    <row r="8" spans="2:17" s="3" customFormat="1" x14ac:dyDescent="0.2">
      <c r="B8" s="1" t="s">
        <v>29</v>
      </c>
      <c r="C8" s="1" t="s">
        <v>56</v>
      </c>
    </row>
    <row r="9" spans="2:17" s="3" customFormat="1" x14ac:dyDescent="0.2">
      <c r="B9" s="1" t="s">
        <v>30</v>
      </c>
      <c r="C9" s="1" t="s">
        <v>33</v>
      </c>
    </row>
    <row r="10" spans="2:17" s="3" customFormat="1" x14ac:dyDescent="0.2">
      <c r="B10" s="1" t="s">
        <v>30</v>
      </c>
      <c r="C10" s="1" t="s">
        <v>37</v>
      </c>
    </row>
    <row r="11" spans="2:17" s="3" customFormat="1" x14ac:dyDescent="0.2">
      <c r="B11" s="1" t="s">
        <v>30</v>
      </c>
      <c r="C11" s="1" t="s">
        <v>57</v>
      </c>
    </row>
    <row r="12" spans="2:17" s="3" customFormat="1" x14ac:dyDescent="0.2">
      <c r="B12" s="1" t="s">
        <v>129</v>
      </c>
      <c r="C12" s="1" t="s">
        <v>124</v>
      </c>
    </row>
    <row r="13" spans="2:17" s="3" customFormat="1" x14ac:dyDescent="0.2">
      <c r="B13" s="1" t="s">
        <v>179</v>
      </c>
      <c r="C13" s="1" t="s">
        <v>239</v>
      </c>
      <c r="E13" s="1" t="s">
        <v>240</v>
      </c>
      <c r="F13" s="1" t="s">
        <v>241</v>
      </c>
    </row>
    <row r="14" spans="2:17" s="3" customFormat="1" x14ac:dyDescent="0.2">
      <c r="B14" s="1" t="s">
        <v>181</v>
      </c>
      <c r="C14" s="1" t="s">
        <v>242</v>
      </c>
      <c r="E14" s="1" t="s">
        <v>243</v>
      </c>
      <c r="F14" s="1" t="s">
        <v>244</v>
      </c>
    </row>
    <row r="15" spans="2:17" s="3" customFormat="1" x14ac:dyDescent="0.2">
      <c r="B15" s="1" t="s">
        <v>158</v>
      </c>
      <c r="C15" s="1"/>
    </row>
    <row r="16" spans="2:17" s="3" customFormat="1" x14ac:dyDescent="0.2">
      <c r="B16" s="1"/>
      <c r="C16" s="1"/>
    </row>
    <row r="17" spans="2:7" s="3" customFormat="1" x14ac:dyDescent="0.2">
      <c r="B17" s="1"/>
      <c r="C17" s="1"/>
    </row>
    <row r="18" spans="2:7" s="3" customFormat="1" x14ac:dyDescent="0.2">
      <c r="B18" s="1" t="s">
        <v>119</v>
      </c>
      <c r="C18" s="1" t="s">
        <v>231</v>
      </c>
    </row>
    <row r="19" spans="2:7" s="3" customFormat="1" x14ac:dyDescent="0.2">
      <c r="B19" s="1" t="s">
        <v>120</v>
      </c>
      <c r="C19" s="1" t="s">
        <v>232</v>
      </c>
    </row>
    <row r="20" spans="2:7" s="3" customFormat="1" x14ac:dyDescent="0.2">
      <c r="B20" s="16" t="s">
        <v>29</v>
      </c>
      <c r="C20" s="1" t="s">
        <v>34</v>
      </c>
    </row>
    <row r="21" spans="2:7" s="3" customFormat="1" x14ac:dyDescent="0.2">
      <c r="B21" s="16" t="s">
        <v>29</v>
      </c>
      <c r="C21" s="1" t="s">
        <v>36</v>
      </c>
      <c r="E21" s="1"/>
      <c r="F21" s="23"/>
      <c r="G21" s="24"/>
    </row>
    <row r="22" spans="2:7" s="3" customFormat="1" x14ac:dyDescent="0.2">
      <c r="B22" s="1" t="s">
        <v>29</v>
      </c>
      <c r="C22" s="1" t="s">
        <v>56</v>
      </c>
      <c r="E22" s="1"/>
      <c r="F22" s="23"/>
      <c r="G22" s="24"/>
    </row>
    <row r="23" spans="2:7" s="3" customFormat="1" x14ac:dyDescent="0.2">
      <c r="B23" s="1" t="s">
        <v>30</v>
      </c>
      <c r="C23" s="1" t="s">
        <v>33</v>
      </c>
    </row>
    <row r="24" spans="2:7" s="3" customFormat="1" x14ac:dyDescent="0.2">
      <c r="B24" s="1" t="s">
        <v>30</v>
      </c>
      <c r="C24" s="1" t="s">
        <v>37</v>
      </c>
    </row>
    <row r="25" spans="2:7" s="3" customFormat="1" x14ac:dyDescent="0.2">
      <c r="B25" s="1" t="s">
        <v>30</v>
      </c>
      <c r="C25" s="1" t="s">
        <v>57</v>
      </c>
    </row>
    <row r="26" spans="2:7" s="3" customFormat="1" x14ac:dyDescent="0.2">
      <c r="B26" s="1" t="s">
        <v>129</v>
      </c>
      <c r="C26" s="1" t="s">
        <v>124</v>
      </c>
    </row>
    <row r="27" spans="2:7" s="3" customFormat="1" x14ac:dyDescent="0.2">
      <c r="B27" s="1" t="s">
        <v>131</v>
      </c>
      <c r="C27" s="1" t="s">
        <v>126</v>
      </c>
    </row>
    <row r="28" spans="2:7" s="3" customFormat="1" x14ac:dyDescent="0.2">
      <c r="B28" s="1" t="s">
        <v>131</v>
      </c>
      <c r="C28" s="1" t="s">
        <v>127</v>
      </c>
    </row>
    <row r="29" spans="2:7" s="3" customFormat="1" x14ac:dyDescent="0.2">
      <c r="B29" s="1" t="s">
        <v>131</v>
      </c>
      <c r="C29" s="1" t="s">
        <v>128</v>
      </c>
    </row>
    <row r="30" spans="2:7" s="3" customFormat="1" x14ac:dyDescent="0.2">
      <c r="B30" s="1" t="s">
        <v>158</v>
      </c>
      <c r="C30" s="1"/>
    </row>
    <row r="31" spans="2:7" s="3" customFormat="1" x14ac:dyDescent="0.2">
      <c r="B31" s="1" t="s">
        <v>155</v>
      </c>
      <c r="C31" s="1" t="s">
        <v>237</v>
      </c>
    </row>
    <row r="32" spans="2:7" s="3" customFormat="1" x14ac:dyDescent="0.2">
      <c r="B32" s="1" t="s">
        <v>156</v>
      </c>
      <c r="C32" s="1" t="s">
        <v>245</v>
      </c>
    </row>
    <row r="33" spans="2:7" s="3" customFormat="1" x14ac:dyDescent="0.2">
      <c r="B33" s="1" t="s">
        <v>159</v>
      </c>
      <c r="C33" s="1"/>
    </row>
    <row r="34" spans="2:7" s="3" customFormat="1" x14ac:dyDescent="0.2">
      <c r="B34" s="3" t="s">
        <v>160</v>
      </c>
      <c r="C34" s="3" t="s">
        <v>246</v>
      </c>
      <c r="F34" s="3">
        <v>75000</v>
      </c>
    </row>
    <row r="35" spans="2:7" s="3" customFormat="1" x14ac:dyDescent="0.2">
      <c r="B35" s="1" t="s">
        <v>161</v>
      </c>
      <c r="C35" s="1" t="s">
        <v>162</v>
      </c>
      <c r="F35" s="3">
        <v>160</v>
      </c>
    </row>
    <row r="36" spans="2:7" s="3" customFormat="1" x14ac:dyDescent="0.2">
      <c r="B36" s="3" t="s">
        <v>163</v>
      </c>
      <c r="C36" s="1" t="s">
        <v>187</v>
      </c>
      <c r="E36" s="3">
        <f>3600</f>
        <v>3600</v>
      </c>
      <c r="F36" s="3">
        <f>F34/F35</f>
        <v>468.75</v>
      </c>
      <c r="G36" s="3">
        <f>E36/F36</f>
        <v>7.68</v>
      </c>
    </row>
    <row r="37" spans="2:7" s="3" customFormat="1" x14ac:dyDescent="0.2">
      <c r="B37" s="1" t="s">
        <v>157</v>
      </c>
      <c r="C37" s="1" t="s">
        <v>164</v>
      </c>
    </row>
    <row r="38" spans="2:7" s="3" customFormat="1" x14ac:dyDescent="0.2">
      <c r="B38" s="3" t="s">
        <v>163</v>
      </c>
      <c r="C38" s="1" t="s">
        <v>165</v>
      </c>
    </row>
    <row r="39" spans="2:7" s="3" customFormat="1" x14ac:dyDescent="0.2">
      <c r="B39" s="1" t="s">
        <v>132</v>
      </c>
      <c r="C39" s="1"/>
    </row>
    <row r="40" spans="2:7" s="3" customFormat="1" x14ac:dyDescent="0.2">
      <c r="B40" s="1" t="s">
        <v>178</v>
      </c>
      <c r="C40" s="1" t="s">
        <v>233</v>
      </c>
    </row>
    <row r="41" spans="2:7" s="3" customFormat="1" x14ac:dyDescent="0.2">
      <c r="B41" s="1" t="s">
        <v>180</v>
      </c>
      <c r="C41" s="1" t="s">
        <v>234</v>
      </c>
    </row>
    <row r="42" spans="2:7" s="3" customFormat="1" x14ac:dyDescent="0.2">
      <c r="B42" s="1" t="s">
        <v>133</v>
      </c>
      <c r="C42" s="1" t="s">
        <v>235</v>
      </c>
      <c r="D42" s="3">
        <v>4</v>
      </c>
      <c r="E42" s="3">
        <v>24</v>
      </c>
      <c r="F42" s="3">
        <v>0.25</v>
      </c>
      <c r="G42" s="3">
        <v>1</v>
      </c>
    </row>
    <row r="43" spans="2:7" s="3" customFormat="1" x14ac:dyDescent="0.2">
      <c r="B43" s="1" t="s">
        <v>133</v>
      </c>
      <c r="C43" s="1" t="s">
        <v>236</v>
      </c>
      <c r="D43" s="3">
        <v>4</v>
      </c>
      <c r="E43" s="3">
        <v>4</v>
      </c>
      <c r="F43" s="3">
        <v>0.25</v>
      </c>
      <c r="G43" s="3">
        <v>22</v>
      </c>
    </row>
    <row r="44" spans="2:7" s="3" customFormat="1" x14ac:dyDescent="0.2"/>
    <row r="45" spans="2:7" s="3" customFormat="1" x14ac:dyDescent="0.2">
      <c r="B45" s="1" t="s">
        <v>181</v>
      </c>
      <c r="C45" s="1" t="s">
        <v>234</v>
      </c>
    </row>
    <row r="46" spans="2:7" s="3" customFormat="1" x14ac:dyDescent="0.2">
      <c r="B46" s="1" t="s">
        <v>179</v>
      </c>
      <c r="C46" s="1" t="s">
        <v>239</v>
      </c>
    </row>
    <row r="47" spans="2:7" s="3" customFormat="1" x14ac:dyDescent="0.2">
      <c r="B47" s="1" t="s">
        <v>178</v>
      </c>
      <c r="C47" s="1" t="s">
        <v>239</v>
      </c>
    </row>
    <row r="48" spans="2:7" s="3" customFormat="1" x14ac:dyDescent="0.2">
      <c r="B48" s="1" t="s">
        <v>132</v>
      </c>
      <c r="D48" s="1" t="s">
        <v>166</v>
      </c>
    </row>
    <row r="49" spans="2:7" s="3" customFormat="1" x14ac:dyDescent="0.2">
      <c r="B49" s="1" t="s">
        <v>130</v>
      </c>
      <c r="C49" s="1" t="s">
        <v>247</v>
      </c>
      <c r="D49" s="1" t="s">
        <v>167</v>
      </c>
    </row>
    <row r="50" spans="2:7" s="3" customFormat="1" x14ac:dyDescent="0.2">
      <c r="B50" s="1" t="s">
        <v>133</v>
      </c>
      <c r="C50" s="1" t="s">
        <v>248</v>
      </c>
      <c r="D50" s="3">
        <v>4</v>
      </c>
      <c r="E50" s="3">
        <v>24</v>
      </c>
      <c r="F50" s="3">
        <v>0.25</v>
      </c>
      <c r="G50" s="3">
        <v>1</v>
      </c>
    </row>
    <row r="51" spans="2:7" s="3" customFormat="1" x14ac:dyDescent="0.2">
      <c r="B51" s="1" t="s">
        <v>168</v>
      </c>
      <c r="C51" s="1" t="s">
        <v>169</v>
      </c>
      <c r="D51" s="3">
        <v>4</v>
      </c>
      <c r="E51" s="3">
        <v>24</v>
      </c>
      <c r="F51" s="3">
        <v>0.25</v>
      </c>
      <c r="G51" s="3">
        <v>1</v>
      </c>
    </row>
    <row r="52" spans="2:7" s="3" customFormat="1" x14ac:dyDescent="0.2"/>
    <row r="53" spans="2:7" s="3" customFormat="1" x14ac:dyDescent="0.2">
      <c r="B53" s="1" t="s">
        <v>151</v>
      </c>
      <c r="C53" s="1"/>
    </row>
    <row r="54" spans="2:7" s="3" customFormat="1" x14ac:dyDescent="0.2">
      <c r="B54" s="3" t="s">
        <v>23</v>
      </c>
      <c r="C54" s="1" t="s">
        <v>249</v>
      </c>
    </row>
    <row r="55" spans="2:7" s="3" customFormat="1" x14ac:dyDescent="0.2">
      <c r="B55" s="1" t="s">
        <v>26</v>
      </c>
      <c r="C55" s="1" t="s">
        <v>250</v>
      </c>
    </row>
    <row r="56" spans="2:7" s="3" customFormat="1" x14ac:dyDescent="0.2"/>
    <row r="57" spans="2:7" s="3" customFormat="1" x14ac:dyDescent="0.2">
      <c r="B57" s="1" t="s">
        <v>132</v>
      </c>
    </row>
    <row r="58" spans="2:7" s="3" customFormat="1" x14ac:dyDescent="0.2">
      <c r="B58" s="1" t="s">
        <v>130</v>
      </c>
      <c r="C58" s="1" t="s">
        <v>247</v>
      </c>
    </row>
    <row r="59" spans="2:7" s="3" customFormat="1" x14ac:dyDescent="0.2">
      <c r="B59" s="1" t="s">
        <v>133</v>
      </c>
      <c r="C59" s="1" t="s">
        <v>248</v>
      </c>
      <c r="D59" s="3">
        <v>22</v>
      </c>
      <c r="E59" s="3">
        <v>24</v>
      </c>
      <c r="F59" s="3">
        <v>0.25</v>
      </c>
      <c r="G59" s="3">
        <v>0.25</v>
      </c>
    </row>
    <row r="60" spans="2:7" s="3" customFormat="1" x14ac:dyDescent="0.2">
      <c r="B60" s="1"/>
      <c r="C60" s="1"/>
    </row>
    <row r="61" spans="2:7" s="3" customFormat="1" x14ac:dyDescent="0.2">
      <c r="B61" s="1" t="s">
        <v>119</v>
      </c>
      <c r="C61" s="1" t="s">
        <v>251</v>
      </c>
    </row>
    <row r="62" spans="2:7" s="3" customFormat="1" x14ac:dyDescent="0.2">
      <c r="B62" s="1" t="s">
        <v>120</v>
      </c>
      <c r="C62" s="1" t="s">
        <v>252</v>
      </c>
    </row>
    <row r="63" spans="2:7" s="3" customFormat="1" x14ac:dyDescent="0.2">
      <c r="B63" s="16" t="s">
        <v>29</v>
      </c>
      <c r="C63" s="1" t="s">
        <v>34</v>
      </c>
    </row>
    <row r="64" spans="2:7" s="3" customFormat="1" x14ac:dyDescent="0.2">
      <c r="B64" s="16" t="s">
        <v>29</v>
      </c>
      <c r="C64" s="1" t="s">
        <v>36</v>
      </c>
    </row>
    <row r="65" spans="2:5" s="3" customFormat="1" x14ac:dyDescent="0.2">
      <c r="B65" s="1" t="s">
        <v>29</v>
      </c>
      <c r="C65" s="1" t="s">
        <v>56</v>
      </c>
    </row>
    <row r="66" spans="2:5" s="3" customFormat="1" x14ac:dyDescent="0.2">
      <c r="B66" s="1" t="s">
        <v>30</v>
      </c>
      <c r="C66" s="1" t="s">
        <v>33</v>
      </c>
    </row>
    <row r="67" spans="2:5" s="3" customFormat="1" x14ac:dyDescent="0.2">
      <c r="B67" s="1" t="s">
        <v>30</v>
      </c>
      <c r="C67" s="1" t="s">
        <v>37</v>
      </c>
    </row>
    <row r="68" spans="2:5" s="3" customFormat="1" x14ac:dyDescent="0.2">
      <c r="B68" s="1" t="s">
        <v>30</v>
      </c>
      <c r="C68" s="1" t="s">
        <v>57</v>
      </c>
    </row>
    <row r="69" spans="2:5" s="3" customFormat="1" x14ac:dyDescent="0.2">
      <c r="B69" s="3" t="s">
        <v>22</v>
      </c>
      <c r="C69" s="3" t="s">
        <v>20</v>
      </c>
    </row>
    <row r="70" spans="2:5" s="3" customFormat="1" x14ac:dyDescent="0.2">
      <c r="B70" s="3" t="s">
        <v>22</v>
      </c>
      <c r="C70" s="3" t="s">
        <v>19</v>
      </c>
    </row>
    <row r="71" spans="2:5" s="3" customFormat="1" x14ac:dyDescent="0.2">
      <c r="B71" s="3" t="s">
        <v>22</v>
      </c>
      <c r="C71" s="16" t="s">
        <v>21</v>
      </c>
    </row>
    <row r="72" spans="2:5" s="3" customFormat="1" x14ac:dyDescent="0.2">
      <c r="B72" s="16" t="s">
        <v>31</v>
      </c>
      <c r="C72" s="1" t="s">
        <v>126</v>
      </c>
      <c r="E72" s="1" t="s">
        <v>32</v>
      </c>
    </row>
    <row r="73" spans="2:5" s="3" customFormat="1" x14ac:dyDescent="0.2">
      <c r="B73" s="16" t="s">
        <v>31</v>
      </c>
      <c r="C73" s="1" t="s">
        <v>127</v>
      </c>
      <c r="E73" s="1" t="s">
        <v>38</v>
      </c>
    </row>
    <row r="74" spans="2:5" s="3" customFormat="1" x14ac:dyDescent="0.2">
      <c r="B74" s="16" t="s">
        <v>31</v>
      </c>
      <c r="C74" s="1" t="s">
        <v>128</v>
      </c>
      <c r="E74" s="1" t="s">
        <v>121</v>
      </c>
    </row>
    <row r="75" spans="2:5" s="3" customFormat="1" x14ac:dyDescent="0.2">
      <c r="B75" s="16" t="s">
        <v>122</v>
      </c>
      <c r="C75" s="1" t="s">
        <v>253</v>
      </c>
    </row>
    <row r="76" spans="2:5" s="3" customFormat="1" x14ac:dyDescent="0.2">
      <c r="B76" s="3" t="s">
        <v>123</v>
      </c>
      <c r="C76" s="1" t="s">
        <v>134</v>
      </c>
    </row>
    <row r="77" spans="2:5" s="3" customFormat="1" x14ac:dyDescent="0.2">
      <c r="B77" s="3" t="s">
        <v>23</v>
      </c>
      <c r="C77" s="1" t="s">
        <v>254</v>
      </c>
    </row>
    <row r="78" spans="2:5" s="3" customFormat="1" x14ac:dyDescent="0.2">
      <c r="B78" s="1" t="s">
        <v>26</v>
      </c>
      <c r="C78" s="1" t="s">
        <v>255</v>
      </c>
    </row>
    <row r="79" spans="2:5" s="3" customFormat="1" x14ac:dyDescent="0.2">
      <c r="B79" s="1" t="s">
        <v>58</v>
      </c>
      <c r="C79" s="1" t="s">
        <v>59</v>
      </c>
    </row>
    <row r="80" spans="2:5" s="3" customFormat="1" x14ac:dyDescent="0.2">
      <c r="B80" s="3" t="s">
        <v>28</v>
      </c>
      <c r="C80" s="1" t="s">
        <v>256</v>
      </c>
    </row>
    <row r="81" spans="2:5" s="3" customFormat="1" x14ac:dyDescent="0.2">
      <c r="B81" s="3" t="s">
        <v>23</v>
      </c>
      <c r="C81" s="1" t="s">
        <v>257</v>
      </c>
    </row>
    <row r="82" spans="2:5" s="3" customFormat="1" x14ac:dyDescent="0.2">
      <c r="B82" s="1" t="s">
        <v>26</v>
      </c>
      <c r="C82" s="1" t="s">
        <v>258</v>
      </c>
    </row>
    <row r="83" spans="2:5" s="3" customFormat="1" x14ac:dyDescent="0.2">
      <c r="B83" s="3" t="s">
        <v>27</v>
      </c>
      <c r="C83" s="1" t="s">
        <v>259</v>
      </c>
    </row>
    <row r="84" spans="2:5" s="3" customFormat="1" x14ac:dyDescent="0.2">
      <c r="B84" s="3" t="s">
        <v>123</v>
      </c>
      <c r="C84" s="1" t="s">
        <v>124</v>
      </c>
      <c r="E84" s="1"/>
    </row>
    <row r="85" spans="2:5" s="3" customFormat="1" x14ac:dyDescent="0.2">
      <c r="C85" s="1"/>
    </row>
    <row r="86" spans="2:5" s="3" customFormat="1" x14ac:dyDescent="0.2">
      <c r="C86" s="1"/>
    </row>
    <row r="87" spans="2:5" s="3" customFormat="1" x14ac:dyDescent="0.2">
      <c r="C87" s="1"/>
    </row>
    <row r="88" spans="2:5" s="3" customFormat="1" x14ac:dyDescent="0.2">
      <c r="B88" s="3" t="s">
        <v>125</v>
      </c>
      <c r="C88" s="1" t="s">
        <v>260</v>
      </c>
    </row>
    <row r="89" spans="2:5" s="3" customFormat="1" x14ac:dyDescent="0.2">
      <c r="B89" s="1" t="s">
        <v>55</v>
      </c>
      <c r="C89" s="1" t="s">
        <v>47</v>
      </c>
      <c r="D89" s="3">
        <v>10</v>
      </c>
    </row>
    <row r="90" spans="2:5" s="3" customFormat="1" x14ac:dyDescent="0.2">
      <c r="B90" s="1" t="s">
        <v>55</v>
      </c>
      <c r="C90" s="1" t="s">
        <v>46</v>
      </c>
      <c r="D90" s="3">
        <v>30</v>
      </c>
    </row>
    <row r="91" spans="2:5" s="3" customFormat="1" x14ac:dyDescent="0.2">
      <c r="B91" s="1" t="s">
        <v>55</v>
      </c>
      <c r="C91" s="1" t="s">
        <v>25</v>
      </c>
      <c r="D91" s="3">
        <v>30</v>
      </c>
    </row>
    <row r="92" spans="2:5" s="3" customFormat="1" x14ac:dyDescent="0.2">
      <c r="B92" s="16" t="s">
        <v>29</v>
      </c>
      <c r="C92" s="1" t="s">
        <v>34</v>
      </c>
    </row>
    <row r="93" spans="2:5" s="3" customFormat="1" x14ac:dyDescent="0.2">
      <c r="B93" s="16" t="s">
        <v>29</v>
      </c>
      <c r="C93" s="1" t="s">
        <v>36</v>
      </c>
    </row>
    <row r="94" spans="2:5" s="3" customFormat="1" x14ac:dyDescent="0.2">
      <c r="B94" s="1" t="s">
        <v>29</v>
      </c>
      <c r="C94" s="1" t="s">
        <v>56</v>
      </c>
    </row>
    <row r="95" spans="2:5" s="3" customFormat="1" x14ac:dyDescent="0.2">
      <c r="B95" s="1" t="s">
        <v>30</v>
      </c>
      <c r="C95" s="1" t="s">
        <v>33</v>
      </c>
    </row>
    <row r="96" spans="2:5" s="3" customFormat="1" x14ac:dyDescent="0.2">
      <c r="B96" s="1" t="s">
        <v>30</v>
      </c>
      <c r="C96" s="1" t="s">
        <v>37</v>
      </c>
    </row>
    <row r="97" spans="2:7" s="3" customFormat="1" x14ac:dyDescent="0.2">
      <c r="B97" s="1" t="s">
        <v>30</v>
      </c>
      <c r="C97" s="1" t="s">
        <v>57</v>
      </c>
    </row>
    <row r="98" spans="2:7" s="3" customFormat="1" x14ac:dyDescent="0.2">
      <c r="B98" s="3" t="s">
        <v>23</v>
      </c>
      <c r="C98" s="1" t="s">
        <v>251</v>
      </c>
    </row>
    <row r="99" spans="2:7" s="3" customFormat="1" x14ac:dyDescent="0.2">
      <c r="B99" s="1" t="s">
        <v>26</v>
      </c>
      <c r="C99" s="1" t="s">
        <v>252</v>
      </c>
    </row>
    <row r="100" spans="2:7" s="3" customFormat="1" x14ac:dyDescent="0.2">
      <c r="B100" s="1" t="s">
        <v>58</v>
      </c>
      <c r="C100" s="1" t="s">
        <v>59</v>
      </c>
    </row>
    <row r="101" spans="2:7" s="3" customFormat="1" x14ac:dyDescent="0.2"/>
    <row r="102" spans="2:7" s="3" customFormat="1" x14ac:dyDescent="0.2">
      <c r="B102" s="1" t="s">
        <v>55</v>
      </c>
      <c r="C102" s="1" t="s">
        <v>47</v>
      </c>
    </row>
    <row r="103" spans="2:7" s="3" customFormat="1" x14ac:dyDescent="0.2">
      <c r="B103" s="1" t="s">
        <v>55</v>
      </c>
      <c r="C103" s="1" t="s">
        <v>46</v>
      </c>
    </row>
    <row r="104" spans="2:7" s="3" customFormat="1" x14ac:dyDescent="0.2">
      <c r="B104" s="1" t="s">
        <v>55</v>
      </c>
      <c r="C104" s="1" t="s">
        <v>25</v>
      </c>
    </row>
    <row r="105" spans="2:7" s="3" customFormat="1" x14ac:dyDescent="0.2">
      <c r="B105" s="16" t="s">
        <v>29</v>
      </c>
      <c r="C105" s="1" t="s">
        <v>34</v>
      </c>
    </row>
    <row r="106" spans="2:7" s="3" customFormat="1" x14ac:dyDescent="0.2">
      <c r="B106" s="16" t="s">
        <v>29</v>
      </c>
      <c r="C106" s="1" t="s">
        <v>36</v>
      </c>
    </row>
    <row r="107" spans="2:7" s="3" customFormat="1" x14ac:dyDescent="0.2">
      <c r="B107" s="1" t="s">
        <v>29</v>
      </c>
      <c r="C107" s="1" t="s">
        <v>56</v>
      </c>
    </row>
    <row r="108" spans="2:7" s="3" customFormat="1" x14ac:dyDescent="0.2">
      <c r="B108" s="1" t="s">
        <v>30</v>
      </c>
      <c r="C108" s="1" t="s">
        <v>33</v>
      </c>
    </row>
    <row r="109" spans="2:7" x14ac:dyDescent="0.2">
      <c r="B109" s="1" t="s">
        <v>30</v>
      </c>
      <c r="C109" s="1" t="s">
        <v>37</v>
      </c>
      <c r="F109" s="3">
        <v>1380</v>
      </c>
      <c r="G109" s="3">
        <v>1393</v>
      </c>
    </row>
    <row r="110" spans="2:7" s="3" customFormat="1" x14ac:dyDescent="0.2">
      <c r="B110" s="1" t="s">
        <v>30</v>
      </c>
      <c r="C110" s="1" t="s">
        <v>57</v>
      </c>
      <c r="F110" s="3">
        <v>1381</v>
      </c>
      <c r="G110" s="3">
        <v>1404</v>
      </c>
    </row>
    <row r="111" spans="2:7" s="3" customFormat="1" x14ac:dyDescent="0.2">
      <c r="B111" s="3" t="s">
        <v>28</v>
      </c>
      <c r="C111" s="1" t="s">
        <v>261</v>
      </c>
      <c r="F111" s="3">
        <v>1382</v>
      </c>
      <c r="G111" s="3">
        <v>1397</v>
      </c>
    </row>
    <row r="112" spans="2:7" s="3" customFormat="1" x14ac:dyDescent="0.2">
      <c r="B112" s="3" t="s">
        <v>23</v>
      </c>
      <c r="C112" s="1" t="s">
        <v>262</v>
      </c>
    </row>
    <row r="113" spans="2:7" s="3" customFormat="1" x14ac:dyDescent="0.2">
      <c r="B113" s="1" t="s">
        <v>26</v>
      </c>
      <c r="C113" s="1" t="s">
        <v>263</v>
      </c>
      <c r="F113" s="3">
        <v>1383</v>
      </c>
      <c r="G113" s="3">
        <v>1401</v>
      </c>
    </row>
    <row r="114" spans="2:7" s="3" customFormat="1" x14ac:dyDescent="0.2">
      <c r="B114" s="1" t="s">
        <v>58</v>
      </c>
      <c r="C114" s="1" t="s">
        <v>59</v>
      </c>
    </row>
    <row r="115" spans="2:7" s="3" customFormat="1" x14ac:dyDescent="0.2">
      <c r="B115" s="3" t="s">
        <v>27</v>
      </c>
      <c r="C115" s="1" t="s">
        <v>264</v>
      </c>
    </row>
    <row r="116" spans="2:7" s="3" customFormat="1" x14ac:dyDescent="0.2"/>
    <row r="117" spans="2:7" s="3" customFormat="1" x14ac:dyDescent="0.2"/>
    <row r="118" spans="2:7" s="3" customFormat="1" x14ac:dyDescent="0.2"/>
    <row r="119" spans="2:7" s="3" customFormat="1" x14ac:dyDescent="0.2"/>
    <row r="120" spans="2:7" s="3" customFormat="1" x14ac:dyDescent="0.2"/>
    <row r="121" spans="2:7" s="3" customFormat="1" x14ac:dyDescent="0.2"/>
    <row r="122" spans="2:7" s="3" customFormat="1" x14ac:dyDescent="0.2">
      <c r="F122" s="3">
        <v>1384</v>
      </c>
      <c r="G122" s="3">
        <v>1395</v>
      </c>
    </row>
    <row r="123" spans="2:7" s="3" customFormat="1" x14ac:dyDescent="0.2">
      <c r="B123" s="1" t="s">
        <v>48</v>
      </c>
      <c r="C123" s="1" t="s">
        <v>49</v>
      </c>
      <c r="F123" s="3">
        <v>1386</v>
      </c>
      <c r="G123" s="3">
        <v>1393</v>
      </c>
    </row>
    <row r="124" spans="2:7" s="3" customFormat="1" x14ac:dyDescent="0.2">
      <c r="B124" s="1" t="s">
        <v>45</v>
      </c>
      <c r="C124" s="1" t="s">
        <v>47</v>
      </c>
      <c r="F124" s="3">
        <v>1387</v>
      </c>
      <c r="G124" s="3">
        <v>1404</v>
      </c>
    </row>
    <row r="125" spans="2:7" s="3" customFormat="1" x14ac:dyDescent="0.2">
      <c r="B125" s="1" t="s">
        <v>45</v>
      </c>
      <c r="C125" s="1" t="s">
        <v>25</v>
      </c>
      <c r="F125" s="3">
        <v>1388</v>
      </c>
      <c r="G125" s="3">
        <v>1401</v>
      </c>
    </row>
    <row r="126" spans="2:7" s="3" customFormat="1" x14ac:dyDescent="0.2">
      <c r="B126" s="1" t="s">
        <v>45</v>
      </c>
      <c r="C126" s="1" t="s">
        <v>46</v>
      </c>
      <c r="F126" s="3">
        <v>1389</v>
      </c>
      <c r="G126" s="3">
        <v>1397</v>
      </c>
    </row>
    <row r="127" spans="2:7" s="3" customFormat="1" x14ac:dyDescent="0.2">
      <c r="B127" s="3" t="s">
        <v>28</v>
      </c>
      <c r="C127" s="1" t="s">
        <v>265</v>
      </c>
      <c r="F127" s="3">
        <v>1390</v>
      </c>
      <c r="G127" s="3">
        <v>1395</v>
      </c>
    </row>
    <row r="128" spans="2:7" s="3" customFormat="1" x14ac:dyDescent="0.2">
      <c r="B128" s="3" t="s">
        <v>23</v>
      </c>
      <c r="C128" s="1" t="s">
        <v>266</v>
      </c>
      <c r="F128" s="3">
        <v>1394</v>
      </c>
      <c r="G128" s="3">
        <v>1395</v>
      </c>
    </row>
    <row r="129" spans="2:7" s="3" customFormat="1" x14ac:dyDescent="0.2">
      <c r="B129" s="1" t="s">
        <v>26</v>
      </c>
      <c r="C129" s="1" t="s">
        <v>267</v>
      </c>
      <c r="F129" s="3">
        <v>1396</v>
      </c>
      <c r="G129" s="3">
        <v>1404</v>
      </c>
    </row>
    <row r="130" spans="2:7" s="3" customFormat="1" x14ac:dyDescent="0.2">
      <c r="B130" s="3" t="s">
        <v>27</v>
      </c>
      <c r="C130" s="1" t="s">
        <v>268</v>
      </c>
      <c r="F130" s="3">
        <v>1398</v>
      </c>
      <c r="G130" s="3">
        <v>1404</v>
      </c>
    </row>
    <row r="131" spans="2:7" s="3" customFormat="1" x14ac:dyDescent="0.2"/>
    <row r="132" spans="2:7" s="3" customFormat="1" x14ac:dyDescent="0.2">
      <c r="B132" s="3" t="s">
        <v>42</v>
      </c>
      <c r="C132" s="3" t="s">
        <v>269</v>
      </c>
    </row>
    <row r="133" spans="2:7" s="3" customFormat="1" x14ac:dyDescent="0.2">
      <c r="B133" s="3" t="s">
        <v>24</v>
      </c>
      <c r="C133" s="3" t="s">
        <v>25</v>
      </c>
    </row>
    <row r="134" spans="2:7" s="3" customFormat="1" x14ac:dyDescent="0.2">
      <c r="B134" s="3" t="s">
        <v>22</v>
      </c>
      <c r="C134" s="3" t="s">
        <v>20</v>
      </c>
    </row>
    <row r="135" spans="2:7" s="3" customFormat="1" x14ac:dyDescent="0.2">
      <c r="B135" s="3" t="s">
        <v>22</v>
      </c>
      <c r="C135" s="3" t="s">
        <v>19</v>
      </c>
    </row>
    <row r="136" spans="2:7" s="3" customFormat="1" x14ac:dyDescent="0.2">
      <c r="B136" s="3" t="s">
        <v>28</v>
      </c>
    </row>
    <row r="137" spans="2:7" s="3" customFormat="1" x14ac:dyDescent="0.2">
      <c r="B137" s="3" t="s">
        <v>23</v>
      </c>
      <c r="C137" s="3" t="s">
        <v>270</v>
      </c>
    </row>
    <row r="138" spans="2:7" s="3" customFormat="1" x14ac:dyDescent="0.2">
      <c r="B138" s="3" t="s">
        <v>26</v>
      </c>
      <c r="C138" s="3" t="s">
        <v>271</v>
      </c>
    </row>
    <row r="139" spans="2:7" s="3" customFormat="1" x14ac:dyDescent="0.2">
      <c r="B139" s="3" t="s">
        <v>27</v>
      </c>
      <c r="C139" s="3" t="s">
        <v>272</v>
      </c>
    </row>
    <row r="140" spans="2:7" s="3" customFormat="1" x14ac:dyDescent="0.2"/>
    <row r="141" spans="2:7" s="3" customFormat="1" x14ac:dyDescent="0.2">
      <c r="E141" s="20"/>
    </row>
    <row r="142" spans="2:7" s="3" customFormat="1" x14ac:dyDescent="0.2">
      <c r="B142" s="3" t="s">
        <v>23</v>
      </c>
      <c r="C142" s="1" t="s">
        <v>273</v>
      </c>
      <c r="E142" s="19">
        <f>2*2^0.5</f>
        <v>2.8284271247461903</v>
      </c>
    </row>
    <row r="143" spans="2:7" s="3" customFormat="1" x14ac:dyDescent="0.2">
      <c r="B143" s="1" t="s">
        <v>54</v>
      </c>
      <c r="C143" s="1" t="s">
        <v>274</v>
      </c>
      <c r="E143" s="1">
        <f>1+5^0.5</f>
        <v>3.2360679774997898</v>
      </c>
    </row>
    <row r="144" spans="2:7" s="3" customFormat="1" x14ac:dyDescent="0.2"/>
    <row r="145" spans="2:3" s="3" customFormat="1" x14ac:dyDescent="0.2">
      <c r="B145" s="3" t="s">
        <v>22</v>
      </c>
      <c r="C145" s="3" t="s">
        <v>20</v>
      </c>
    </row>
    <row r="146" spans="2:3" s="3" customFormat="1" x14ac:dyDescent="0.2">
      <c r="B146" s="3" t="s">
        <v>22</v>
      </c>
      <c r="C146" s="3" t="s">
        <v>19</v>
      </c>
    </row>
    <row r="147" spans="2:3" s="3" customFormat="1" x14ac:dyDescent="0.2">
      <c r="B147" s="3" t="s">
        <v>28</v>
      </c>
    </row>
    <row r="148" spans="2:3" s="3" customFormat="1" x14ac:dyDescent="0.2">
      <c r="B148" s="3" t="s">
        <v>23</v>
      </c>
      <c r="C148" s="3" t="s">
        <v>275</v>
      </c>
    </row>
    <row r="149" spans="2:3" s="3" customFormat="1" x14ac:dyDescent="0.2">
      <c r="B149" s="3" t="s">
        <v>26</v>
      </c>
      <c r="C149" s="3" t="s">
        <v>276</v>
      </c>
    </row>
    <row r="150" spans="2:3" s="3" customFormat="1" x14ac:dyDescent="0.2">
      <c r="B150" s="3" t="s">
        <v>27</v>
      </c>
      <c r="C150" s="3" t="s">
        <v>277</v>
      </c>
    </row>
    <row r="151" spans="2:3" s="3" customFormat="1" x14ac:dyDescent="0.2"/>
    <row r="152" spans="2:3" s="3" customFormat="1" x14ac:dyDescent="0.2"/>
    <row r="153" spans="2:3" s="3" customFormat="1" x14ac:dyDescent="0.2">
      <c r="B153" s="16" t="s">
        <v>29</v>
      </c>
      <c r="C153" s="1" t="s">
        <v>34</v>
      </c>
    </row>
    <row r="154" spans="2:3" s="3" customFormat="1" x14ac:dyDescent="0.2">
      <c r="B154" s="16" t="s">
        <v>29</v>
      </c>
      <c r="C154" s="1" t="s">
        <v>36</v>
      </c>
    </row>
    <row r="155" spans="2:3" s="3" customFormat="1" x14ac:dyDescent="0.2">
      <c r="B155" s="16" t="s">
        <v>30</v>
      </c>
      <c r="C155" s="1" t="s">
        <v>33</v>
      </c>
    </row>
    <row r="156" spans="2:3" s="3" customFormat="1" x14ac:dyDescent="0.2">
      <c r="B156" s="16" t="s">
        <v>30</v>
      </c>
      <c r="C156" s="1" t="s">
        <v>37</v>
      </c>
    </row>
    <row r="157" spans="2:3" s="3" customFormat="1" x14ac:dyDescent="0.2">
      <c r="B157" s="16" t="s">
        <v>31</v>
      </c>
      <c r="C157" s="1" t="s">
        <v>32</v>
      </c>
    </row>
    <row r="158" spans="2:3" s="3" customFormat="1" x14ac:dyDescent="0.2">
      <c r="B158" s="16" t="s">
        <v>31</v>
      </c>
      <c r="C158" s="1" t="s">
        <v>38</v>
      </c>
    </row>
    <row r="159" spans="2:3" x14ac:dyDescent="0.2">
      <c r="B159" s="3" t="s">
        <v>23</v>
      </c>
      <c r="C159" s="3" t="s">
        <v>270</v>
      </c>
    </row>
    <row r="160" spans="2:3" x14ac:dyDescent="0.2">
      <c r="B160" s="3" t="s">
        <v>26</v>
      </c>
      <c r="C160" s="3" t="s">
        <v>271</v>
      </c>
    </row>
    <row r="161" spans="2:6" x14ac:dyDescent="0.2">
      <c r="B161" s="3" t="s">
        <v>27</v>
      </c>
      <c r="C161" s="3" t="s">
        <v>272</v>
      </c>
    </row>
    <row r="162" spans="2:6" s="3" customFormat="1" x14ac:dyDescent="0.2"/>
    <row r="163" spans="2:6" s="3" customFormat="1" x14ac:dyDescent="0.2"/>
    <row r="164" spans="2:6" x14ac:dyDescent="0.2">
      <c r="B164" s="3" t="s">
        <v>24</v>
      </c>
      <c r="C164" s="3" t="s">
        <v>25</v>
      </c>
      <c r="D164" s="3" t="s">
        <v>8</v>
      </c>
    </row>
    <row r="165" spans="2:6" x14ac:dyDescent="0.2">
      <c r="B165" s="3" t="s">
        <v>22</v>
      </c>
      <c r="C165" s="3" t="s">
        <v>19</v>
      </c>
      <c r="E165" s="3" t="s">
        <v>9</v>
      </c>
      <c r="F165">
        <v>1</v>
      </c>
    </row>
    <row r="166" spans="2:6" x14ac:dyDescent="0.2">
      <c r="B166" s="3" t="s">
        <v>22</v>
      </c>
      <c r="C166" s="3" t="s">
        <v>20</v>
      </c>
      <c r="E166" s="3" t="s">
        <v>10</v>
      </c>
      <c r="F166">
        <v>2</v>
      </c>
    </row>
    <row r="167" spans="2:6" x14ac:dyDescent="0.2">
      <c r="B167" s="3" t="s">
        <v>22</v>
      </c>
      <c r="C167" s="3" t="s">
        <v>21</v>
      </c>
      <c r="E167" s="3" t="s">
        <v>11</v>
      </c>
      <c r="F167">
        <v>3</v>
      </c>
    </row>
    <row r="168" spans="2:6" x14ac:dyDescent="0.2">
      <c r="B168" t="s">
        <v>26</v>
      </c>
      <c r="C168" s="3" t="s">
        <v>278</v>
      </c>
      <c r="E168" s="3" t="s">
        <v>12</v>
      </c>
      <c r="F168">
        <v>4</v>
      </c>
    </row>
    <row r="169" spans="2:6" x14ac:dyDescent="0.2">
      <c r="E169" s="3" t="s">
        <v>13</v>
      </c>
      <c r="F169">
        <v>5</v>
      </c>
    </row>
    <row r="170" spans="2:6" x14ac:dyDescent="0.2">
      <c r="E170" s="3" t="s">
        <v>14</v>
      </c>
      <c r="F170">
        <v>6</v>
      </c>
    </row>
    <row r="171" spans="2:6" ht="25.5" x14ac:dyDescent="0.2">
      <c r="C171" s="17" t="s">
        <v>35</v>
      </c>
      <c r="E171" s="3" t="s">
        <v>15</v>
      </c>
    </row>
    <row r="172" spans="2:6" x14ac:dyDescent="0.2">
      <c r="E172" s="3" t="s">
        <v>16</v>
      </c>
    </row>
    <row r="173" spans="2:6" x14ac:dyDescent="0.2">
      <c r="E173" s="3" t="s">
        <v>17</v>
      </c>
    </row>
    <row r="174" spans="2:6" x14ac:dyDescent="0.2">
      <c r="B174" s="1" t="s">
        <v>116</v>
      </c>
      <c r="E174" s="3" t="s">
        <v>18</v>
      </c>
    </row>
    <row r="175" spans="2:6" x14ac:dyDescent="0.2">
      <c r="B175" s="3" t="s">
        <v>52</v>
      </c>
      <c r="C175" s="3" t="s">
        <v>53</v>
      </c>
      <c r="D175">
        <v>50</v>
      </c>
    </row>
    <row r="176" spans="2:6" x14ac:dyDescent="0.2">
      <c r="B176" s="3">
        <v>1379</v>
      </c>
      <c r="C176" s="3">
        <v>1395</v>
      </c>
      <c r="D176">
        <v>14.95</v>
      </c>
    </row>
    <row r="177" spans="2:6" x14ac:dyDescent="0.2">
      <c r="B177" s="3">
        <v>1380</v>
      </c>
      <c r="C177" s="3">
        <v>1393</v>
      </c>
      <c r="D177">
        <v>229</v>
      </c>
    </row>
    <row r="178" spans="2:6" x14ac:dyDescent="0.2">
      <c r="B178" s="3">
        <v>1381</v>
      </c>
      <c r="C178" s="3">
        <v>1404</v>
      </c>
      <c r="D178">
        <v>33.21</v>
      </c>
      <c r="E178">
        <v>11</v>
      </c>
      <c r="F178">
        <v>1.75</v>
      </c>
    </row>
    <row r="179" spans="2:6" x14ac:dyDescent="0.2">
      <c r="B179" s="3">
        <v>1382</v>
      </c>
      <c r="C179" s="3">
        <v>1397</v>
      </c>
      <c r="D179">
        <f>D176+D177+D178+D175</f>
        <v>327.15999999999997</v>
      </c>
      <c r="E179" s="3">
        <f>D179*E178</f>
        <v>3598.7599999999998</v>
      </c>
      <c r="F179" s="3">
        <f>E179*F178</f>
        <v>6297.83</v>
      </c>
    </row>
    <row r="180" spans="2:6" x14ac:dyDescent="0.2">
      <c r="B180" s="3">
        <v>1383</v>
      </c>
      <c r="C180" s="3">
        <v>1401</v>
      </c>
    </row>
    <row r="181" spans="2:6" x14ac:dyDescent="0.2">
      <c r="B181" s="3">
        <v>1384</v>
      </c>
      <c r="C181" s="3">
        <v>1395</v>
      </c>
    </row>
    <row r="182" spans="2:6" x14ac:dyDescent="0.2">
      <c r="B182" s="3">
        <v>1386</v>
      </c>
      <c r="C182" s="3">
        <v>1393</v>
      </c>
    </row>
    <row r="183" spans="2:6" x14ac:dyDescent="0.2">
      <c r="B183" s="3">
        <v>1387</v>
      </c>
      <c r="C183" s="3">
        <v>1404</v>
      </c>
    </row>
    <row r="184" spans="2:6" x14ac:dyDescent="0.2">
      <c r="B184" s="3">
        <v>1388</v>
      </c>
      <c r="C184" s="3">
        <v>1401</v>
      </c>
    </row>
    <row r="185" spans="2:6" x14ac:dyDescent="0.2">
      <c r="B185" s="3">
        <v>1389</v>
      </c>
      <c r="C185" s="3">
        <v>1397</v>
      </c>
    </row>
    <row r="186" spans="2:6" x14ac:dyDescent="0.2">
      <c r="B186" s="3">
        <v>1390</v>
      </c>
      <c r="C186" s="3">
        <v>1395</v>
      </c>
    </row>
    <row r="187" spans="2:6" x14ac:dyDescent="0.2">
      <c r="B187" s="3">
        <v>1394</v>
      </c>
      <c r="C187" s="3">
        <v>1395</v>
      </c>
    </row>
    <row r="188" spans="2:6" x14ac:dyDescent="0.2">
      <c r="B188" s="3">
        <v>1396</v>
      </c>
      <c r="C188" s="3">
        <v>1404</v>
      </c>
    </row>
    <row r="189" spans="2:6" x14ac:dyDescent="0.2">
      <c r="B189" s="3">
        <v>1398</v>
      </c>
      <c r="C189" s="3">
        <v>1404</v>
      </c>
    </row>
    <row r="192" spans="2:6" x14ac:dyDescent="0.2">
      <c r="B192" s="1" t="s">
        <v>115</v>
      </c>
    </row>
    <row r="193" spans="2:3" x14ac:dyDescent="0.2">
      <c r="B193" s="3" t="s">
        <v>50</v>
      </c>
      <c r="C193" s="3" t="s">
        <v>51</v>
      </c>
    </row>
    <row r="194" spans="2:3" x14ac:dyDescent="0.2">
      <c r="B194" s="3">
        <v>7504</v>
      </c>
      <c r="C194" s="3">
        <v>7506</v>
      </c>
    </row>
    <row r="195" spans="2:3" x14ac:dyDescent="0.2">
      <c r="B195" s="3">
        <v>476</v>
      </c>
      <c r="C195" s="3">
        <v>478</v>
      </c>
    </row>
    <row r="196" spans="2:3" x14ac:dyDescent="0.2">
      <c r="B196" s="3">
        <v>815</v>
      </c>
      <c r="C196" s="3">
        <v>818</v>
      </c>
    </row>
    <row r="197" spans="2:3" x14ac:dyDescent="0.2">
      <c r="B197" s="3">
        <v>816</v>
      </c>
      <c r="C197" s="3">
        <v>819</v>
      </c>
    </row>
    <row r="198" spans="2:3" x14ac:dyDescent="0.2">
      <c r="B198" s="3">
        <v>817</v>
      </c>
      <c r="C198" s="3">
        <v>821</v>
      </c>
    </row>
    <row r="199" spans="2:3" x14ac:dyDescent="0.2">
      <c r="B199" s="3">
        <v>844</v>
      </c>
      <c r="C199" s="3">
        <v>852</v>
      </c>
    </row>
    <row r="200" spans="2:3" x14ac:dyDescent="0.2">
      <c r="B200" s="3">
        <v>845</v>
      </c>
      <c r="C200" s="3">
        <v>856</v>
      </c>
    </row>
    <row r="201" spans="2:3" x14ac:dyDescent="0.2">
      <c r="B201" s="3">
        <v>846</v>
      </c>
      <c r="C201" s="3">
        <v>858</v>
      </c>
    </row>
    <row r="202" spans="2:3" x14ac:dyDescent="0.2">
      <c r="B202" s="3">
        <v>848</v>
      </c>
      <c r="C202" s="3">
        <v>852</v>
      </c>
    </row>
    <row r="203" spans="2:3" x14ac:dyDescent="0.2">
      <c r="B203" s="3">
        <v>850</v>
      </c>
      <c r="C203" s="3">
        <v>858</v>
      </c>
    </row>
    <row r="204" spans="2:3" x14ac:dyDescent="0.2">
      <c r="B204" s="3">
        <v>851</v>
      </c>
      <c r="C204" s="3">
        <v>852</v>
      </c>
    </row>
    <row r="205" spans="2:3" x14ac:dyDescent="0.2">
      <c r="B205" s="3">
        <v>853</v>
      </c>
      <c r="C205" s="3">
        <v>854</v>
      </c>
    </row>
    <row r="206" spans="2:3" x14ac:dyDescent="0.2">
      <c r="B206" s="3">
        <v>859</v>
      </c>
      <c r="C206" s="3">
        <v>863</v>
      </c>
    </row>
    <row r="207" spans="2:3" x14ac:dyDescent="0.2">
      <c r="B207" s="3">
        <v>861</v>
      </c>
      <c r="C207" s="3">
        <v>864</v>
      </c>
    </row>
    <row r="208" spans="2:3" x14ac:dyDescent="0.2">
      <c r="B208" s="3">
        <v>862</v>
      </c>
      <c r="C208" s="3">
        <v>865</v>
      </c>
    </row>
    <row r="209" spans="2:3" x14ac:dyDescent="0.2">
      <c r="B209" s="3">
        <v>1011</v>
      </c>
      <c r="C209" s="3">
        <v>1016</v>
      </c>
    </row>
    <row r="210" spans="2:3" x14ac:dyDescent="0.2">
      <c r="B210" s="3">
        <v>1012</v>
      </c>
      <c r="C210" s="3">
        <v>1018</v>
      </c>
    </row>
    <row r="211" spans="2:3" x14ac:dyDescent="0.2">
      <c r="B211" s="3">
        <v>1013</v>
      </c>
      <c r="C211" s="3">
        <v>1016</v>
      </c>
    </row>
    <row r="212" spans="2:3" x14ac:dyDescent="0.2">
      <c r="B212" s="3">
        <v>1014</v>
      </c>
      <c r="C212" s="3">
        <v>1018</v>
      </c>
    </row>
    <row r="213" spans="2:3" x14ac:dyDescent="0.2">
      <c r="B213" s="3">
        <v>1024</v>
      </c>
      <c r="C213" s="3">
        <v>1028</v>
      </c>
    </row>
    <row r="214" spans="2:3" x14ac:dyDescent="0.2">
      <c r="B214" s="3">
        <v>1025</v>
      </c>
      <c r="C214" s="3">
        <v>1029</v>
      </c>
    </row>
    <row r="215" spans="2:3" x14ac:dyDescent="0.2">
      <c r="B215" s="3">
        <v>1026</v>
      </c>
      <c r="C215" s="3">
        <v>1028</v>
      </c>
    </row>
    <row r="216" spans="2:3" x14ac:dyDescent="0.2">
      <c r="B216" s="3">
        <v>1027</v>
      </c>
      <c r="C216" s="3">
        <v>1029</v>
      </c>
    </row>
    <row r="217" spans="2:3" x14ac:dyDescent="0.2">
      <c r="B217" s="3">
        <v>1122</v>
      </c>
      <c r="C217" s="3">
        <v>1127</v>
      </c>
    </row>
    <row r="218" spans="2:3" x14ac:dyDescent="0.2">
      <c r="B218" s="3">
        <v>1123</v>
      </c>
      <c r="C218" s="3">
        <v>1129</v>
      </c>
    </row>
    <row r="219" spans="2:3" x14ac:dyDescent="0.2">
      <c r="B219" s="3">
        <v>1124</v>
      </c>
      <c r="C219" s="3">
        <v>1127</v>
      </c>
    </row>
    <row r="220" spans="2:3" x14ac:dyDescent="0.2">
      <c r="B220" s="3">
        <v>1125</v>
      </c>
      <c r="C220" s="3">
        <v>1129</v>
      </c>
    </row>
    <row r="221" spans="2:3" x14ac:dyDescent="0.2">
      <c r="B221" s="3">
        <v>1161</v>
      </c>
      <c r="C221" s="3">
        <v>1166</v>
      </c>
    </row>
    <row r="222" spans="2:3" x14ac:dyDescent="0.2">
      <c r="B222" s="3">
        <v>1162</v>
      </c>
      <c r="C222" s="3">
        <v>1169</v>
      </c>
    </row>
    <row r="223" spans="2:3" x14ac:dyDescent="0.2">
      <c r="B223" s="3">
        <v>1163</v>
      </c>
      <c r="C223" s="3">
        <v>1166</v>
      </c>
    </row>
    <row r="224" spans="2:3" x14ac:dyDescent="0.2">
      <c r="B224" s="3">
        <v>1164</v>
      </c>
      <c r="C224" s="3">
        <v>1169</v>
      </c>
    </row>
    <row r="225" spans="2:3" x14ac:dyDescent="0.2">
      <c r="B225" s="3">
        <v>1165</v>
      </c>
      <c r="C225" s="3">
        <v>1166</v>
      </c>
    </row>
    <row r="226" spans="2:3" x14ac:dyDescent="0.2">
      <c r="B226" s="3">
        <v>1262</v>
      </c>
      <c r="C226" s="3">
        <v>1266</v>
      </c>
    </row>
    <row r="227" spans="2:3" x14ac:dyDescent="0.2">
      <c r="B227" s="3">
        <v>1263</v>
      </c>
      <c r="C227" s="3">
        <v>1267</v>
      </c>
    </row>
    <row r="228" spans="2:3" x14ac:dyDescent="0.2">
      <c r="B228" s="3">
        <v>1264</v>
      </c>
      <c r="C228" s="3">
        <v>1266</v>
      </c>
    </row>
    <row r="229" spans="2:3" x14ac:dyDescent="0.2">
      <c r="B229" s="3">
        <v>1265</v>
      </c>
      <c r="C229" s="3">
        <v>1267</v>
      </c>
    </row>
    <row r="230" spans="2:3" x14ac:dyDescent="0.2">
      <c r="B230" s="3">
        <v>1268</v>
      </c>
      <c r="C230" s="3">
        <v>1270</v>
      </c>
    </row>
    <row r="231" spans="2:3" x14ac:dyDescent="0.2">
      <c r="B231" s="3">
        <v>1269</v>
      </c>
      <c r="C231" s="3">
        <v>1272</v>
      </c>
    </row>
    <row r="232" spans="2:3" x14ac:dyDescent="0.2">
      <c r="B232" s="3">
        <v>1274</v>
      </c>
      <c r="C232" s="3">
        <v>1277</v>
      </c>
    </row>
    <row r="233" spans="2:3" x14ac:dyDescent="0.2">
      <c r="B233" s="3">
        <v>1275</v>
      </c>
      <c r="C233" s="3">
        <v>1282</v>
      </c>
    </row>
    <row r="234" spans="2:3" x14ac:dyDescent="0.2">
      <c r="B234" s="3">
        <v>1276</v>
      </c>
      <c r="C234" s="3">
        <v>1284</v>
      </c>
    </row>
    <row r="235" spans="2:3" x14ac:dyDescent="0.2">
      <c r="B235" s="3">
        <v>1278</v>
      </c>
      <c r="C235" s="3">
        <v>1282</v>
      </c>
    </row>
    <row r="236" spans="2:3" x14ac:dyDescent="0.2">
      <c r="B236" s="3">
        <v>1279</v>
      </c>
      <c r="C236" s="3">
        <v>1284</v>
      </c>
    </row>
    <row r="237" spans="2:3" x14ac:dyDescent="0.2">
      <c r="B237" s="3">
        <v>1280</v>
      </c>
      <c r="C237" s="3">
        <v>1282</v>
      </c>
    </row>
    <row r="238" spans="2:3" x14ac:dyDescent="0.2">
      <c r="B238" s="3">
        <v>1281</v>
      </c>
      <c r="C238" s="3">
        <v>1282</v>
      </c>
    </row>
    <row r="239" spans="2:3" x14ac:dyDescent="0.2">
      <c r="B239" s="3">
        <v>1283</v>
      </c>
      <c r="C239" s="3">
        <v>1284</v>
      </c>
    </row>
    <row r="240" spans="2:3" x14ac:dyDescent="0.2">
      <c r="B240" s="3">
        <v>1285</v>
      </c>
      <c r="C240" s="3">
        <v>1287</v>
      </c>
    </row>
    <row r="241" spans="2:3" x14ac:dyDescent="0.2">
      <c r="B241" s="3">
        <v>1286</v>
      </c>
      <c r="C241" s="3">
        <v>1288</v>
      </c>
    </row>
    <row r="242" spans="2:3" x14ac:dyDescent="0.2">
      <c r="B242" s="3">
        <v>1289</v>
      </c>
      <c r="C242" s="3">
        <v>1292</v>
      </c>
    </row>
    <row r="243" spans="2:3" x14ac:dyDescent="0.2">
      <c r="B243" s="3">
        <v>1291</v>
      </c>
      <c r="C243" s="3">
        <v>1293</v>
      </c>
    </row>
    <row r="244" spans="2:3" x14ac:dyDescent="0.2">
      <c r="B244" s="3">
        <v>1302</v>
      </c>
      <c r="C244" s="3">
        <v>1306</v>
      </c>
    </row>
    <row r="245" spans="2:3" x14ac:dyDescent="0.2">
      <c r="B245" s="3">
        <v>1303</v>
      </c>
      <c r="C245" s="3">
        <v>1308</v>
      </c>
    </row>
    <row r="246" spans="2:3" x14ac:dyDescent="0.2">
      <c r="B246" s="3">
        <v>1304</v>
      </c>
      <c r="C246" s="3">
        <v>1306</v>
      </c>
    </row>
    <row r="247" spans="2:3" x14ac:dyDescent="0.2">
      <c r="B247" s="3">
        <v>1305</v>
      </c>
      <c r="C247" s="3">
        <v>1308</v>
      </c>
    </row>
    <row r="248" spans="2:3" x14ac:dyDescent="0.2">
      <c r="B248" s="3">
        <v>1430</v>
      </c>
      <c r="C248" s="3">
        <v>1435</v>
      </c>
    </row>
    <row r="249" spans="2:3" x14ac:dyDescent="0.2">
      <c r="B249" s="3">
        <v>1431</v>
      </c>
      <c r="C249" s="3">
        <v>1443</v>
      </c>
    </row>
    <row r="250" spans="2:3" x14ac:dyDescent="0.2">
      <c r="B250" s="3">
        <v>1433</v>
      </c>
      <c r="C250" s="3">
        <v>1443</v>
      </c>
    </row>
    <row r="251" spans="2:3" x14ac:dyDescent="0.2">
      <c r="B251" s="3">
        <v>1444</v>
      </c>
      <c r="C251" s="3">
        <v>1448</v>
      </c>
    </row>
    <row r="252" spans="2:3" x14ac:dyDescent="0.2">
      <c r="B252" s="3">
        <v>1445</v>
      </c>
      <c r="C252" s="3">
        <v>1452</v>
      </c>
    </row>
    <row r="253" spans="2:3" x14ac:dyDescent="0.2">
      <c r="B253" s="3">
        <v>1446</v>
      </c>
      <c r="C253" s="3">
        <v>1448</v>
      </c>
    </row>
    <row r="254" spans="2:3" x14ac:dyDescent="0.2">
      <c r="B254" s="3">
        <v>1447</v>
      </c>
      <c r="C254" s="3">
        <v>1452</v>
      </c>
    </row>
    <row r="255" spans="2:3" x14ac:dyDescent="0.2">
      <c r="B255" s="3">
        <v>1632</v>
      </c>
      <c r="C255" s="3">
        <v>1634</v>
      </c>
    </row>
    <row r="256" spans="2:3" x14ac:dyDescent="0.2">
      <c r="B256" s="3">
        <v>1642</v>
      </c>
      <c r="C256" s="3">
        <v>1648</v>
      </c>
    </row>
    <row r="257" spans="2:3" x14ac:dyDescent="0.2">
      <c r="B257" s="3">
        <v>1644</v>
      </c>
      <c r="C257" s="3">
        <v>1649</v>
      </c>
    </row>
    <row r="258" spans="2:3" x14ac:dyDescent="0.2">
      <c r="B258" s="3">
        <v>1646</v>
      </c>
      <c r="C258" s="3">
        <v>1648</v>
      </c>
    </row>
    <row r="259" spans="2:3" x14ac:dyDescent="0.2">
      <c r="B259" s="3">
        <v>1647</v>
      </c>
      <c r="C259" s="3">
        <v>1649</v>
      </c>
    </row>
    <row r="260" spans="2:3" x14ac:dyDescent="0.2">
      <c r="B260" s="3">
        <v>1650</v>
      </c>
      <c r="C260" s="3">
        <v>1657</v>
      </c>
    </row>
    <row r="261" spans="2:3" x14ac:dyDescent="0.2">
      <c r="B261" s="3">
        <v>1651</v>
      </c>
      <c r="C261" s="3">
        <v>1658</v>
      </c>
    </row>
    <row r="262" spans="2:3" x14ac:dyDescent="0.2">
      <c r="B262" s="3">
        <v>1652</v>
      </c>
      <c r="C262" s="3">
        <v>1657</v>
      </c>
    </row>
    <row r="263" spans="2:3" x14ac:dyDescent="0.2">
      <c r="B263" s="3">
        <v>1653</v>
      </c>
      <c r="C263" s="3">
        <v>1656</v>
      </c>
    </row>
    <row r="264" spans="2:3" x14ac:dyDescent="0.2">
      <c r="B264" s="3">
        <v>1654</v>
      </c>
      <c r="C264" s="3">
        <v>1658</v>
      </c>
    </row>
    <row r="265" spans="2:3" x14ac:dyDescent="0.2">
      <c r="B265" s="3">
        <v>1676</v>
      </c>
      <c r="C265" s="3">
        <v>1687</v>
      </c>
    </row>
    <row r="266" spans="2:3" x14ac:dyDescent="0.2">
      <c r="B266" s="3">
        <v>1677</v>
      </c>
      <c r="C266" s="3">
        <v>1695</v>
      </c>
    </row>
    <row r="267" spans="2:3" x14ac:dyDescent="0.2">
      <c r="B267" s="3">
        <v>1678</v>
      </c>
      <c r="C267" s="3">
        <v>1685</v>
      </c>
    </row>
    <row r="268" spans="2:3" x14ac:dyDescent="0.2">
      <c r="B268" s="3">
        <v>1679</v>
      </c>
      <c r="C268" s="3">
        <v>1687</v>
      </c>
    </row>
    <row r="269" spans="2:3" x14ac:dyDescent="0.2">
      <c r="B269" s="3">
        <v>1680</v>
      </c>
      <c r="C269" s="3">
        <v>1695</v>
      </c>
    </row>
    <row r="270" spans="2:3" x14ac:dyDescent="0.2">
      <c r="B270" s="3">
        <v>1681</v>
      </c>
      <c r="C270" s="3">
        <v>1687</v>
      </c>
    </row>
    <row r="271" spans="2:3" x14ac:dyDescent="0.2">
      <c r="B271" s="3">
        <v>1682</v>
      </c>
      <c r="C271" s="3">
        <v>1687</v>
      </c>
    </row>
    <row r="272" spans="2:3" x14ac:dyDescent="0.2">
      <c r="B272" s="3">
        <v>64202</v>
      </c>
      <c r="C272" s="3">
        <v>64207</v>
      </c>
    </row>
    <row r="273" spans="2:3" x14ac:dyDescent="0.2">
      <c r="B273" s="3">
        <v>64203</v>
      </c>
      <c r="C273" s="3">
        <v>64208</v>
      </c>
    </row>
    <row r="274" spans="2:3" x14ac:dyDescent="0.2">
      <c r="B274" s="3">
        <v>64204</v>
      </c>
      <c r="C274" s="3">
        <v>64207</v>
      </c>
    </row>
    <row r="275" spans="2:3" x14ac:dyDescent="0.2">
      <c r="B275" s="3">
        <v>64206</v>
      </c>
      <c r="C275" s="3">
        <v>64208</v>
      </c>
    </row>
    <row r="276" spans="2:3" x14ac:dyDescent="0.2">
      <c r="B276" s="3">
        <v>64209</v>
      </c>
      <c r="C276" s="3">
        <v>64210</v>
      </c>
    </row>
    <row r="277" spans="2:3" x14ac:dyDescent="0.2">
      <c r="B277" s="3">
        <v>64211</v>
      </c>
      <c r="C277" s="3">
        <v>64215</v>
      </c>
    </row>
    <row r="278" spans="2:3" x14ac:dyDescent="0.2">
      <c r="B278" s="3">
        <v>64212</v>
      </c>
      <c r="C278" s="3">
        <v>64216</v>
      </c>
    </row>
    <row r="279" spans="2:3" x14ac:dyDescent="0.2">
      <c r="B279" s="3">
        <v>64213</v>
      </c>
      <c r="C279" s="3">
        <v>64215</v>
      </c>
    </row>
    <row r="280" spans="2:3" x14ac:dyDescent="0.2">
      <c r="B280" s="3">
        <v>64214</v>
      </c>
      <c r="C280" s="3">
        <v>64216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ryland_Start">
                <anchor moveWithCells="1" sizeWithCells="1">
                  <from>
                    <xdr:col>4</xdr:col>
                    <xdr:colOff>304800</xdr:colOff>
                    <xdr:row>0</xdr:row>
                    <xdr:rowOff>123825</xdr:rowOff>
                  </from>
                  <to>
                    <xdr:col>5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R107"/>
  <sheetViews>
    <sheetView workbookViewId="0">
      <selection activeCell="G78" sqref="G78"/>
    </sheetView>
  </sheetViews>
  <sheetFormatPr defaultRowHeight="12.75" x14ac:dyDescent="0.2"/>
  <cols>
    <col min="3" max="3" width="16.28515625" customWidth="1"/>
    <col min="4" max="8" width="12.7109375" customWidth="1"/>
    <col min="20" max="21" width="9.7109375" customWidth="1"/>
  </cols>
  <sheetData>
    <row r="1" spans="2:18" x14ac:dyDescent="0.2">
      <c r="H1">
        <f>60/40</f>
        <v>1.5</v>
      </c>
      <c r="I1">
        <v>1.25</v>
      </c>
      <c r="J1">
        <v>1.8170594925112873</v>
      </c>
      <c r="M1">
        <f>27-M2-M3</f>
        <v>3.4000000000000021</v>
      </c>
      <c r="N1">
        <f>M1/1.65</f>
        <v>2.0606060606060619</v>
      </c>
      <c r="O1">
        <v>68.2</v>
      </c>
      <c r="P1" s="1" t="s">
        <v>39</v>
      </c>
      <c r="Q1">
        <f>O2/O1</f>
        <v>1.0733137829912023</v>
      </c>
    </row>
    <row r="2" spans="2:18" x14ac:dyDescent="0.2">
      <c r="H2" s="1" t="s">
        <v>4</v>
      </c>
      <c r="I2" s="1" t="s">
        <v>5</v>
      </c>
      <c r="J2">
        <f>I1^J1</f>
        <v>1.5</v>
      </c>
      <c r="K2">
        <f>LOG(H1,I1)</f>
        <v>1.8170594925112873</v>
      </c>
      <c r="M2">
        <f>1.3*8</f>
        <v>10.4</v>
      </c>
      <c r="O2">
        <v>73.2</v>
      </c>
      <c r="P2" s="18" t="s">
        <v>40</v>
      </c>
    </row>
    <row r="3" spans="2:18" x14ac:dyDescent="0.2">
      <c r="C3" s="1" t="s">
        <v>2</v>
      </c>
      <c r="D3" s="4">
        <v>2</v>
      </c>
      <c r="E3" s="6">
        <v>1</v>
      </c>
      <c r="F3" s="8">
        <v>0.15</v>
      </c>
      <c r="G3" s="10">
        <v>0.1</v>
      </c>
      <c r="H3" s="12">
        <v>0.3</v>
      </c>
      <c r="M3">
        <f>1.65*8</f>
        <v>13.2</v>
      </c>
      <c r="O3">
        <v>54.1</v>
      </c>
      <c r="P3" s="1" t="s">
        <v>41</v>
      </c>
      <c r="Q3">
        <f>O3/O1</f>
        <v>0.79325513196480935</v>
      </c>
      <c r="R3">
        <f>O3/O2</f>
        <v>0.73907103825136611</v>
      </c>
    </row>
    <row r="4" spans="2:18" x14ac:dyDescent="0.2">
      <c r="C4" s="1" t="s">
        <v>3</v>
      </c>
      <c r="D4" s="4">
        <v>1</v>
      </c>
      <c r="E4" s="6">
        <v>1.82</v>
      </c>
      <c r="F4" s="8">
        <v>4</v>
      </c>
      <c r="G4" s="10">
        <v>5</v>
      </c>
      <c r="H4" s="12">
        <v>5</v>
      </c>
    </row>
    <row r="5" spans="2:18" x14ac:dyDescent="0.2">
      <c r="C5" s="1" t="s">
        <v>6</v>
      </c>
      <c r="D5" s="5">
        <v>1</v>
      </c>
      <c r="E5" s="7">
        <v>0</v>
      </c>
      <c r="F5" s="9">
        <v>1</v>
      </c>
      <c r="G5" s="11">
        <v>1</v>
      </c>
      <c r="H5" s="13">
        <v>1</v>
      </c>
    </row>
    <row r="6" spans="2:18" x14ac:dyDescent="0.2">
      <c r="C6" s="1" t="s">
        <v>7</v>
      </c>
      <c r="D6" s="4">
        <v>1</v>
      </c>
      <c r="E6" s="6">
        <v>0</v>
      </c>
      <c r="F6" s="8">
        <v>0</v>
      </c>
      <c r="G6" s="10">
        <v>0</v>
      </c>
      <c r="H6" s="12">
        <v>0.5</v>
      </c>
    </row>
    <row r="7" spans="2:18" x14ac:dyDescent="0.2">
      <c r="D7" s="3" t="str">
        <f>"=" &amp; D5 &amp; "+"&amp;D3&amp;"((V/C)-" &amp;D6 &amp; ")^"&amp;D4</f>
        <v>=1+2((V/C)-1)^1</v>
      </c>
      <c r="E7" s="3" t="str">
        <f>"=" &amp; E5 &amp; "+"&amp;E3&amp;"((V/C)-" &amp;E6 &amp; ")^"&amp;E4</f>
        <v>=0+1((V/C)-0)^1,82</v>
      </c>
      <c r="F7" s="3" t="str">
        <f>"=" &amp; F5 &amp; "+"&amp;F3&amp;"((V/C)-" &amp;F6 &amp; ")^"&amp;F4</f>
        <v>=1+0,15((V/C)-0)^4</v>
      </c>
      <c r="G7" s="3" t="str">
        <f>"=" &amp; G5 &amp; "+"&amp;G3&amp;"((V/C)-" &amp;G6 &amp; ")^"&amp;G4</f>
        <v>=1+0,1((V/C)-0)^5</v>
      </c>
      <c r="H7" s="3" t="str">
        <f>"=" &amp; H5 &amp; "+"&amp;H3&amp;"((V/C)-" &amp;H6 &amp; ")^"&amp;H4</f>
        <v>=1+0,3((V/C)-0,5)^5</v>
      </c>
    </row>
    <row r="8" spans="2:18" x14ac:dyDescent="0.2">
      <c r="B8" s="1"/>
      <c r="C8" s="1" t="s">
        <v>1</v>
      </c>
      <c r="D8" s="1"/>
      <c r="E8" s="1"/>
      <c r="F8" s="1" t="s">
        <v>4</v>
      </c>
    </row>
    <row r="9" spans="2:18" x14ac:dyDescent="0.2">
      <c r="C9">
        <v>0.1</v>
      </c>
      <c r="D9" s="2">
        <f>MAX(0,D$5-1+D$3*($C9-D$6)^D$4)</f>
        <v>0</v>
      </c>
      <c r="E9" s="2">
        <f>MAX(0,E$5-1+E$3*($C9-E$6)^E$4)</f>
        <v>0</v>
      </c>
      <c r="F9" s="2">
        <f>MAX(0,F$5-1+F$3*($C9-F$6)^F$4)</f>
        <v>1.5000000000000005E-5</v>
      </c>
      <c r="G9" s="2">
        <f>MAX(0,G$5-1+G$3*($C9-G$6)^G$4)</f>
        <v>1.0000000000000006E-6</v>
      </c>
      <c r="H9" s="2">
        <f>H$5-1+H$3*($C9-H$6)^H$4</f>
        <v>-3.0720000000000018E-3</v>
      </c>
    </row>
    <row r="10" spans="2:18" x14ac:dyDescent="0.2">
      <c r="C10">
        <v>0.2</v>
      </c>
      <c r="D10" s="2">
        <f t="shared" ref="D10:G32" si="0">MAX(0,D$5-1+D$3*($C10-D$6)^D$4)</f>
        <v>0</v>
      </c>
      <c r="E10" s="2">
        <f t="shared" si="0"/>
        <v>0</v>
      </c>
      <c r="F10" s="2">
        <f t="shared" si="0"/>
        <v>2.4000000000000009E-4</v>
      </c>
      <c r="G10" s="2">
        <f t="shared" si="0"/>
        <v>3.2000000000000019E-5</v>
      </c>
      <c r="H10" s="2">
        <f t="shared" ref="H10:H32" si="1">H$5-1+H$3*($C10-H$6)^H$4</f>
        <v>-7.2899999999999994E-4</v>
      </c>
    </row>
    <row r="11" spans="2:18" x14ac:dyDescent="0.2">
      <c r="C11" s="3">
        <v>0.3</v>
      </c>
      <c r="D11" s="2">
        <f t="shared" si="0"/>
        <v>0</v>
      </c>
      <c r="E11" s="2">
        <f t="shared" si="0"/>
        <v>0</v>
      </c>
      <c r="F11" s="2">
        <f t="shared" si="0"/>
        <v>1.2149999999999999E-3</v>
      </c>
      <c r="G11" s="2">
        <f t="shared" si="0"/>
        <v>2.43E-4</v>
      </c>
      <c r="H11" s="2">
        <f t="shared" si="1"/>
        <v>-9.6000000000000057E-5</v>
      </c>
    </row>
    <row r="12" spans="2:18" x14ac:dyDescent="0.2">
      <c r="C12" s="3">
        <v>0.4</v>
      </c>
      <c r="D12" s="2">
        <f t="shared" si="0"/>
        <v>0</v>
      </c>
      <c r="E12" s="2">
        <f t="shared" si="0"/>
        <v>0</v>
      </c>
      <c r="F12" s="2">
        <f t="shared" si="0"/>
        <v>3.8400000000000014E-3</v>
      </c>
      <c r="G12" s="2">
        <f t="shared" si="0"/>
        <v>1.0240000000000006E-3</v>
      </c>
      <c r="H12" s="2">
        <f t="shared" si="1"/>
        <v>-2.9999999999999963E-6</v>
      </c>
    </row>
    <row r="13" spans="2:18" x14ac:dyDescent="0.2">
      <c r="C13" s="3">
        <v>0.5</v>
      </c>
      <c r="D13" s="2">
        <f t="shared" si="0"/>
        <v>0</v>
      </c>
      <c r="E13" s="2">
        <f t="shared" si="0"/>
        <v>0</v>
      </c>
      <c r="F13" s="2">
        <f t="shared" si="0"/>
        <v>9.3749999999999997E-3</v>
      </c>
      <c r="G13" s="2">
        <f t="shared" si="0"/>
        <v>3.1250000000000002E-3</v>
      </c>
      <c r="H13" s="2">
        <f t="shared" si="1"/>
        <v>0</v>
      </c>
    </row>
    <row r="14" spans="2:18" x14ac:dyDescent="0.2">
      <c r="C14" s="3">
        <v>0.6</v>
      </c>
      <c r="D14" s="2">
        <f t="shared" si="0"/>
        <v>0</v>
      </c>
      <c r="E14" s="2">
        <f t="shared" si="0"/>
        <v>0</v>
      </c>
      <c r="F14" s="2">
        <f t="shared" si="0"/>
        <v>1.9439999999999999E-2</v>
      </c>
      <c r="G14" s="2">
        <f t="shared" si="0"/>
        <v>7.7759999999999999E-3</v>
      </c>
      <c r="H14" s="2">
        <f t="shared" si="1"/>
        <v>2.9999999999999963E-6</v>
      </c>
    </row>
    <row r="15" spans="2:18" x14ac:dyDescent="0.2">
      <c r="C15" s="3">
        <v>0.7</v>
      </c>
      <c r="D15" s="2">
        <f t="shared" si="0"/>
        <v>0</v>
      </c>
      <c r="E15" s="2">
        <f t="shared" si="0"/>
        <v>0</v>
      </c>
      <c r="F15" s="2">
        <f t="shared" si="0"/>
        <v>3.6014999999999985E-2</v>
      </c>
      <c r="G15" s="2">
        <f t="shared" si="0"/>
        <v>1.6806999999999996E-2</v>
      </c>
      <c r="H15" s="2">
        <f t="shared" si="1"/>
        <v>9.599999999999988E-5</v>
      </c>
    </row>
    <row r="16" spans="2:18" x14ac:dyDescent="0.2">
      <c r="C16" s="3">
        <v>0.8</v>
      </c>
      <c r="D16" s="2">
        <f t="shared" si="0"/>
        <v>0</v>
      </c>
      <c r="E16" s="2">
        <f t="shared" si="0"/>
        <v>0</v>
      </c>
      <c r="F16" s="2">
        <f t="shared" si="0"/>
        <v>6.1440000000000022E-2</v>
      </c>
      <c r="G16" s="2">
        <f t="shared" si="0"/>
        <v>3.2768000000000019E-2</v>
      </c>
      <c r="H16" s="2">
        <f t="shared" si="1"/>
        <v>7.2900000000000048E-4</v>
      </c>
    </row>
    <row r="17" spans="3:8" x14ac:dyDescent="0.2">
      <c r="C17" s="3">
        <v>0.9</v>
      </c>
      <c r="D17" s="2">
        <f t="shared" si="0"/>
        <v>0</v>
      </c>
      <c r="E17" s="2">
        <f t="shared" si="0"/>
        <v>0</v>
      </c>
      <c r="F17" s="2">
        <f t="shared" si="0"/>
        <v>9.8415000000000016E-2</v>
      </c>
      <c r="G17" s="2">
        <f t="shared" si="0"/>
        <v>5.9049000000000018E-2</v>
      </c>
      <c r="H17" s="2">
        <f t="shared" si="1"/>
        <v>3.0720000000000018E-3</v>
      </c>
    </row>
    <row r="18" spans="3:8" x14ac:dyDescent="0.2">
      <c r="C18" s="14">
        <v>1</v>
      </c>
      <c r="D18" s="2">
        <f t="shared" si="0"/>
        <v>0</v>
      </c>
      <c r="E18" s="2">
        <f t="shared" si="0"/>
        <v>0</v>
      </c>
      <c r="F18" s="2">
        <f t="shared" si="0"/>
        <v>0.15</v>
      </c>
      <c r="G18" s="2">
        <f t="shared" si="0"/>
        <v>0.1</v>
      </c>
      <c r="H18" s="2">
        <f t="shared" si="1"/>
        <v>9.3749999999999997E-3</v>
      </c>
    </row>
    <row r="19" spans="3:8" x14ac:dyDescent="0.2">
      <c r="C19" s="3">
        <v>1.1000000000000001</v>
      </c>
      <c r="D19" s="2">
        <f t="shared" si="0"/>
        <v>0.20000000000000018</v>
      </c>
      <c r="E19" s="2">
        <f t="shared" si="0"/>
        <v>0.18941849406909217</v>
      </c>
      <c r="F19" s="2">
        <f t="shared" si="0"/>
        <v>0.21961500000000006</v>
      </c>
      <c r="G19" s="2">
        <f t="shared" si="0"/>
        <v>0.16105100000000006</v>
      </c>
      <c r="H19" s="2">
        <f t="shared" si="1"/>
        <v>2.3328000000000015E-2</v>
      </c>
    </row>
    <row r="20" spans="3:8" x14ac:dyDescent="0.2">
      <c r="C20" s="3">
        <v>1.2</v>
      </c>
      <c r="D20" s="2">
        <f t="shared" si="0"/>
        <v>0.39999999999999991</v>
      </c>
      <c r="E20" s="2">
        <f t="shared" si="0"/>
        <v>0.39350928830087595</v>
      </c>
      <c r="F20" s="2">
        <f t="shared" si="0"/>
        <v>0.31103999999999998</v>
      </c>
      <c r="G20" s="2">
        <f t="shared" si="0"/>
        <v>0.248832</v>
      </c>
      <c r="H20" s="2">
        <f t="shared" si="1"/>
        <v>5.042099999999998E-2</v>
      </c>
    </row>
    <row r="21" spans="3:8" x14ac:dyDescent="0.2">
      <c r="C21" s="15">
        <v>1.25</v>
      </c>
      <c r="D21" s="2">
        <f t="shared" si="0"/>
        <v>0.5</v>
      </c>
      <c r="E21" s="2">
        <f t="shared" si="0"/>
        <v>0.50098455590100022</v>
      </c>
      <c r="F21" s="2">
        <f t="shared" si="0"/>
        <v>0.3662109375</v>
      </c>
      <c r="G21" s="2">
        <f t="shared" si="0"/>
        <v>0.30517578125</v>
      </c>
      <c r="H21" s="2">
        <f t="shared" si="1"/>
        <v>7.1191406249999992E-2</v>
      </c>
    </row>
    <row r="22" spans="3:8" x14ac:dyDescent="0.2">
      <c r="C22" s="3">
        <v>1.3</v>
      </c>
      <c r="D22" s="2">
        <f t="shared" si="0"/>
        <v>0.60000000000000009</v>
      </c>
      <c r="E22" s="2">
        <f t="shared" si="0"/>
        <v>0.61204403600266066</v>
      </c>
      <c r="F22" s="2">
        <f t="shared" si="0"/>
        <v>0.42841500000000005</v>
      </c>
      <c r="G22" s="2">
        <f t="shared" si="0"/>
        <v>0.3712930000000001</v>
      </c>
      <c r="H22" s="2">
        <f t="shared" si="1"/>
        <v>9.8304000000000058E-2</v>
      </c>
    </row>
    <row r="23" spans="3:8" x14ac:dyDescent="0.2">
      <c r="C23" s="3">
        <v>1.4</v>
      </c>
      <c r="D23" s="2">
        <f t="shared" si="0"/>
        <v>0.79999999999999982</v>
      </c>
      <c r="E23" s="2">
        <f t="shared" si="0"/>
        <v>0.84481586556581689</v>
      </c>
      <c r="F23" s="2">
        <f t="shared" si="0"/>
        <v>0.57623999999999975</v>
      </c>
      <c r="G23" s="2">
        <f t="shared" si="0"/>
        <v>0.53782399999999986</v>
      </c>
      <c r="H23" s="2">
        <f t="shared" si="1"/>
        <v>0.17714699999999989</v>
      </c>
    </row>
    <row r="24" spans="3:8" x14ac:dyDescent="0.2">
      <c r="C24" s="14">
        <v>1.5</v>
      </c>
      <c r="D24" s="2">
        <f t="shared" si="0"/>
        <v>1</v>
      </c>
      <c r="E24" s="2">
        <f t="shared" si="0"/>
        <v>1.0916359202442094</v>
      </c>
      <c r="F24" s="2">
        <f t="shared" si="0"/>
        <v>0.75937500000000002</v>
      </c>
      <c r="G24" s="2">
        <f t="shared" si="0"/>
        <v>0.75937500000000002</v>
      </c>
      <c r="H24" s="2">
        <f t="shared" si="1"/>
        <v>0.3</v>
      </c>
    </row>
    <row r="25" spans="3:8" x14ac:dyDescent="0.2">
      <c r="C25" s="3">
        <v>1.75</v>
      </c>
      <c r="D25" s="2">
        <f t="shared" si="0"/>
        <v>1.5</v>
      </c>
      <c r="E25" s="2">
        <f t="shared" si="0"/>
        <v>1.7690401226954267</v>
      </c>
      <c r="F25" s="2">
        <f t="shared" si="0"/>
        <v>1.4068359374999999</v>
      </c>
      <c r="G25" s="2">
        <f t="shared" si="0"/>
        <v>1.64130859375</v>
      </c>
      <c r="H25" s="2">
        <f t="shared" si="1"/>
        <v>0.91552734375</v>
      </c>
    </row>
    <row r="26" spans="3:8" x14ac:dyDescent="0.2">
      <c r="C26" s="3">
        <v>2</v>
      </c>
      <c r="D26" s="2">
        <f t="shared" si="0"/>
        <v>2</v>
      </c>
      <c r="E26" s="2">
        <f t="shared" si="0"/>
        <v>2.5308119851626194</v>
      </c>
      <c r="F26" s="2">
        <f t="shared" si="0"/>
        <v>2.4</v>
      </c>
      <c r="G26" s="2">
        <f t="shared" si="0"/>
        <v>3.2</v>
      </c>
      <c r="H26" s="2">
        <f t="shared" si="1"/>
        <v>2.2781249999999997</v>
      </c>
    </row>
    <row r="27" spans="3:8" x14ac:dyDescent="0.2">
      <c r="C27" s="3">
        <v>2.5</v>
      </c>
      <c r="D27" s="2">
        <f t="shared" si="0"/>
        <v>3</v>
      </c>
      <c r="E27" s="2">
        <f t="shared" si="0"/>
        <v>4.299694259519244</v>
      </c>
      <c r="F27" s="2">
        <f t="shared" si="0"/>
        <v>5.859375</v>
      </c>
      <c r="G27" s="2">
        <f t="shared" si="0"/>
        <v>9.765625</v>
      </c>
      <c r="H27" s="2">
        <f t="shared" si="1"/>
        <v>9.6</v>
      </c>
    </row>
    <row r="28" spans="3:8" x14ac:dyDescent="0.2">
      <c r="C28" s="3">
        <v>3</v>
      </c>
      <c r="D28" s="2">
        <f t="shared" si="0"/>
        <v>4</v>
      </c>
      <c r="E28" s="2">
        <f t="shared" si="0"/>
        <v>6.3851731757949004</v>
      </c>
      <c r="F28" s="2">
        <f t="shared" si="0"/>
        <v>12.15</v>
      </c>
      <c r="G28" s="2">
        <f t="shared" si="0"/>
        <v>24.3</v>
      </c>
      <c r="H28" s="2">
        <f t="shared" si="1"/>
        <v>29.296875</v>
      </c>
    </row>
    <row r="29" spans="3:8" x14ac:dyDescent="0.2">
      <c r="C29" s="3">
        <v>3.5</v>
      </c>
      <c r="D29" s="2">
        <f t="shared" si="0"/>
        <v>5</v>
      </c>
      <c r="E29" s="2">
        <f t="shared" si="0"/>
        <v>8.7769600526091871</v>
      </c>
      <c r="F29" s="2">
        <f t="shared" si="0"/>
        <v>22.509374999999999</v>
      </c>
      <c r="G29" s="2">
        <f t="shared" si="0"/>
        <v>52.521875000000001</v>
      </c>
      <c r="H29" s="2">
        <f t="shared" si="1"/>
        <v>72.899999999999991</v>
      </c>
    </row>
    <row r="30" spans="3:8" x14ac:dyDescent="0.2">
      <c r="C30">
        <v>4</v>
      </c>
      <c r="D30" s="2">
        <f t="shared" si="0"/>
        <v>6</v>
      </c>
      <c r="E30" s="2">
        <f t="shared" si="0"/>
        <v>11.466633274567998</v>
      </c>
      <c r="F30" s="2">
        <f t="shared" si="0"/>
        <v>38.4</v>
      </c>
      <c r="G30" s="2">
        <f t="shared" si="0"/>
        <v>102.4</v>
      </c>
      <c r="H30" s="2">
        <f t="shared" si="1"/>
        <v>157.56562499999998</v>
      </c>
    </row>
    <row r="31" spans="3:8" x14ac:dyDescent="0.2">
      <c r="C31">
        <v>5</v>
      </c>
      <c r="D31" s="2">
        <f t="shared" si="0"/>
        <v>8</v>
      </c>
      <c r="E31" s="2">
        <f t="shared" si="0"/>
        <v>17.712224009208079</v>
      </c>
      <c r="F31" s="2">
        <f t="shared" si="0"/>
        <v>93.75</v>
      </c>
      <c r="G31" s="2">
        <f t="shared" si="0"/>
        <v>312.5</v>
      </c>
      <c r="H31" s="2">
        <f t="shared" si="1"/>
        <v>553.58437500000002</v>
      </c>
    </row>
    <row r="32" spans="3:8" x14ac:dyDescent="0.2">
      <c r="C32">
        <v>6</v>
      </c>
      <c r="D32" s="2">
        <f t="shared" si="0"/>
        <v>10</v>
      </c>
      <c r="E32" s="2">
        <f t="shared" si="0"/>
        <v>25.075657961598115</v>
      </c>
      <c r="F32" s="2">
        <f t="shared" si="0"/>
        <v>194.4</v>
      </c>
      <c r="G32" s="2">
        <f t="shared" si="0"/>
        <v>777.6</v>
      </c>
      <c r="H32" s="2">
        <f t="shared" si="1"/>
        <v>1509.8531249999999</v>
      </c>
    </row>
    <row r="35" spans="2:10" x14ac:dyDescent="0.2">
      <c r="C35">
        <v>1</v>
      </c>
      <c r="F35">
        <v>1</v>
      </c>
    </row>
    <row r="39" spans="2:10" x14ac:dyDescent="0.2">
      <c r="C39" s="3" t="s">
        <v>154</v>
      </c>
      <c r="D39" s="3">
        <v>1609</v>
      </c>
      <c r="E39" s="3" t="s">
        <v>152</v>
      </c>
      <c r="F39" s="3" t="s">
        <v>153</v>
      </c>
    </row>
    <row r="40" spans="2:10" x14ac:dyDescent="0.2">
      <c r="B40">
        <f>C40*1.61</f>
        <v>88.550000000000011</v>
      </c>
      <c r="C40" s="3">
        <v>55</v>
      </c>
      <c r="D40" s="3">
        <f>C40*$D$39</f>
        <v>88495</v>
      </c>
      <c r="E40" s="3">
        <v>1750</v>
      </c>
      <c r="F40" s="22">
        <f>D40/E40</f>
        <v>50.568571428571431</v>
      </c>
      <c r="H40">
        <v>22910</v>
      </c>
      <c r="I40">
        <v>460</v>
      </c>
      <c r="J40" s="3">
        <f>H40/I40</f>
        <v>49.804347826086953</v>
      </c>
    </row>
    <row r="41" spans="2:10" x14ac:dyDescent="0.2">
      <c r="B41" s="3">
        <f t="shared" ref="B41:B48" si="2">C41*1.61</f>
        <v>96.600000000000009</v>
      </c>
      <c r="C41" s="3">
        <v>60</v>
      </c>
      <c r="D41" s="3">
        <f>C41*$D$39</f>
        <v>96540</v>
      </c>
      <c r="E41" s="3">
        <v>1600</v>
      </c>
      <c r="F41" s="22">
        <f>D41/E41</f>
        <v>60.337499999999999</v>
      </c>
      <c r="H41">
        <v>22540</v>
      </c>
      <c r="I41">
        <v>423</v>
      </c>
      <c r="J41">
        <f>H41/I41</f>
        <v>53.286052009456263</v>
      </c>
    </row>
    <row r="42" spans="2:10" x14ac:dyDescent="0.2">
      <c r="B42" s="3">
        <f t="shared" si="2"/>
        <v>104.65</v>
      </c>
      <c r="C42" s="1">
        <v>65</v>
      </c>
      <c r="D42" s="3">
        <f>C42*$D$39</f>
        <v>104585</v>
      </c>
      <c r="E42" s="3">
        <v>1450</v>
      </c>
      <c r="F42" s="22">
        <f>D42/E42</f>
        <v>72.127586206896552</v>
      </c>
      <c r="H42">
        <v>18000</v>
      </c>
      <c r="I42">
        <v>342</v>
      </c>
      <c r="J42" s="3">
        <f>H42/I42</f>
        <v>52.631578947368418</v>
      </c>
    </row>
    <row r="43" spans="2:10" x14ac:dyDescent="0.2">
      <c r="B43" s="3">
        <f t="shared" si="2"/>
        <v>112.7</v>
      </c>
      <c r="C43" s="1">
        <v>70</v>
      </c>
      <c r="D43" s="3">
        <f>C43*$D$39</f>
        <v>112630</v>
      </c>
      <c r="E43" s="3">
        <v>1300</v>
      </c>
      <c r="F43" s="22">
        <f>D43/E43</f>
        <v>86.638461538461542</v>
      </c>
    </row>
    <row r="45" spans="2:10" x14ac:dyDescent="0.2">
      <c r="B45" s="3">
        <f t="shared" si="2"/>
        <v>40.25</v>
      </c>
      <c r="C45" s="1">
        <v>25</v>
      </c>
      <c r="D45" s="3">
        <f>C45*$D$39</f>
        <v>40225</v>
      </c>
      <c r="E45" s="3">
        <v>2000</v>
      </c>
      <c r="F45" s="22">
        <f>D45/E45</f>
        <v>20.112500000000001</v>
      </c>
    </row>
    <row r="46" spans="2:10" x14ac:dyDescent="0.2">
      <c r="B46" s="3">
        <f t="shared" si="2"/>
        <v>26.833333333333332</v>
      </c>
      <c r="C46" s="3">
        <f>2/3*C45</f>
        <v>16.666666666666664</v>
      </c>
    </row>
    <row r="47" spans="2:10" x14ac:dyDescent="0.2">
      <c r="B47" s="3">
        <f t="shared" si="2"/>
        <v>35.42</v>
      </c>
      <c r="C47">
        <v>22</v>
      </c>
      <c r="D47" s="3">
        <f>C47*$D$39</f>
        <v>35398</v>
      </c>
      <c r="E47">
        <v>1800</v>
      </c>
      <c r="F47" s="22">
        <f>D47/E47</f>
        <v>19.665555555555557</v>
      </c>
    </row>
    <row r="48" spans="2:10" x14ac:dyDescent="0.2">
      <c r="B48" s="3">
        <f t="shared" si="2"/>
        <v>23.613333333333333</v>
      </c>
      <c r="C48">
        <f>2/3*C47</f>
        <v>14.666666666666666</v>
      </c>
    </row>
    <row r="53" spans="2:11" x14ac:dyDescent="0.2">
      <c r="E53">
        <f>E55/E54</f>
        <v>23.333333333333332</v>
      </c>
      <c r="F53" s="3">
        <f>F55/F54</f>
        <v>45</v>
      </c>
      <c r="G53" s="3">
        <f>G55/G54</f>
        <v>42.727272727272727</v>
      </c>
    </row>
    <row r="54" spans="2:11" x14ac:dyDescent="0.2">
      <c r="D54" s="1" t="s">
        <v>191</v>
      </c>
      <c r="E54">
        <v>3</v>
      </c>
      <c r="F54">
        <v>6</v>
      </c>
      <c r="G54">
        <v>11</v>
      </c>
      <c r="H54" s="25" t="s">
        <v>193</v>
      </c>
      <c r="I54" s="26" t="s">
        <v>194</v>
      </c>
      <c r="J54" s="26" t="s">
        <v>196</v>
      </c>
      <c r="K54" s="26" t="s">
        <v>195</v>
      </c>
    </row>
    <row r="55" spans="2:11" x14ac:dyDescent="0.2">
      <c r="D55" s="1" t="s">
        <v>192</v>
      </c>
      <c r="E55">
        <v>70</v>
      </c>
      <c r="F55">
        <v>270</v>
      </c>
      <c r="G55">
        <v>470</v>
      </c>
    </row>
    <row r="56" spans="2:11" x14ac:dyDescent="0.2">
      <c r="C56" s="1" t="s">
        <v>190</v>
      </c>
    </row>
    <row r="57" spans="2:11" x14ac:dyDescent="0.2">
      <c r="C57" s="3">
        <v>3</v>
      </c>
      <c r="D57">
        <v>130</v>
      </c>
      <c r="E57" s="3">
        <f>$C57*20+INT($C57/E$54)*E$55</f>
        <v>130</v>
      </c>
      <c r="F57" s="3"/>
      <c r="G57" s="3"/>
      <c r="H57" s="3">
        <f>$C57*20+INT($C57/F$54)*F$55+INT(MOD($C57,F$54)/E$54)*E$55</f>
        <v>130</v>
      </c>
      <c r="I57" s="3"/>
      <c r="J57" s="3">
        <f t="shared" ref="J57:J63" si="3">$C57*20+INT($C57/G$54)*G$55+INT(MOD($C57,G$54)/E$54)*E$55</f>
        <v>130</v>
      </c>
      <c r="K57" s="3">
        <f t="shared" ref="K57:K64" si="4">$C57*20+INT($C57/G$54)*G$55+INT(MOD($C57,G$54)/F$54)*F$55+INT(MOD(MOD($C57,G$54),F$54)/E$54)*E$55</f>
        <v>130</v>
      </c>
    </row>
    <row r="58" spans="2:11" x14ac:dyDescent="0.2">
      <c r="B58">
        <v>46</v>
      </c>
      <c r="C58" s="3">
        <v>4</v>
      </c>
      <c r="D58">
        <v>150</v>
      </c>
      <c r="E58" s="3">
        <f t="shared" ref="E58:E89" si="5">C58*20+INT(C58/E$54)*E$55</f>
        <v>150</v>
      </c>
      <c r="F58" s="3"/>
      <c r="G58" s="3"/>
      <c r="H58" s="3">
        <f t="shared" ref="H58:H64" si="6">$C58*20+INT($C58/F$54)*F$55+INT(MOD(C58,F$54)/E$54)*E$55</f>
        <v>150</v>
      </c>
      <c r="I58" s="3"/>
      <c r="J58" s="3">
        <f t="shared" si="3"/>
        <v>150</v>
      </c>
      <c r="K58" s="3">
        <f t="shared" si="4"/>
        <v>150</v>
      </c>
    </row>
    <row r="59" spans="2:11" x14ac:dyDescent="0.2">
      <c r="B59">
        <v>1390</v>
      </c>
      <c r="C59" s="3">
        <v>5</v>
      </c>
      <c r="D59">
        <v>170</v>
      </c>
      <c r="E59" s="3">
        <f t="shared" si="5"/>
        <v>170</v>
      </c>
      <c r="F59" s="3"/>
      <c r="G59" s="3"/>
      <c r="H59" s="3">
        <f t="shared" si="6"/>
        <v>170</v>
      </c>
      <c r="I59" s="3"/>
      <c r="J59" s="3">
        <f t="shared" si="3"/>
        <v>170</v>
      </c>
      <c r="K59" s="3">
        <f t="shared" si="4"/>
        <v>170</v>
      </c>
    </row>
    <row r="60" spans="2:11" x14ac:dyDescent="0.2">
      <c r="C60" s="3">
        <v>6</v>
      </c>
      <c r="D60">
        <v>390</v>
      </c>
      <c r="E60" s="3">
        <f t="shared" si="5"/>
        <v>260</v>
      </c>
      <c r="F60" s="3">
        <f t="shared" ref="F60:F107" si="7">$C60*20+INT($C60/F$54)*F$55</f>
        <v>390</v>
      </c>
      <c r="G60" s="3"/>
      <c r="H60" s="3">
        <f t="shared" si="6"/>
        <v>390</v>
      </c>
      <c r="I60" s="3"/>
      <c r="J60" s="3">
        <f t="shared" si="3"/>
        <v>260</v>
      </c>
      <c r="K60" s="3">
        <f t="shared" si="4"/>
        <v>390</v>
      </c>
    </row>
    <row r="61" spans="2:11" x14ac:dyDescent="0.2">
      <c r="C61" s="3">
        <v>7</v>
      </c>
      <c r="D61">
        <v>410</v>
      </c>
      <c r="E61" s="3">
        <f t="shared" si="5"/>
        <v>280</v>
      </c>
      <c r="F61" s="3">
        <f t="shared" si="7"/>
        <v>410</v>
      </c>
      <c r="G61" s="3"/>
      <c r="H61" s="3">
        <f t="shared" si="6"/>
        <v>410</v>
      </c>
      <c r="I61" s="3"/>
      <c r="J61" s="3">
        <f t="shared" si="3"/>
        <v>280</v>
      </c>
      <c r="K61" s="3">
        <f t="shared" si="4"/>
        <v>410</v>
      </c>
    </row>
    <row r="62" spans="2:11" x14ac:dyDescent="0.2">
      <c r="C62" s="3">
        <v>8</v>
      </c>
      <c r="D62">
        <v>430</v>
      </c>
      <c r="E62" s="3">
        <f t="shared" si="5"/>
        <v>300</v>
      </c>
      <c r="F62" s="3">
        <f t="shared" si="7"/>
        <v>430</v>
      </c>
      <c r="G62" s="3"/>
      <c r="H62" s="3">
        <f t="shared" si="6"/>
        <v>430</v>
      </c>
      <c r="I62" s="3"/>
      <c r="J62" s="3">
        <f t="shared" si="3"/>
        <v>300</v>
      </c>
      <c r="K62" s="3">
        <f t="shared" si="4"/>
        <v>430</v>
      </c>
    </row>
    <row r="63" spans="2:11" x14ac:dyDescent="0.2">
      <c r="C63" s="3">
        <v>9</v>
      </c>
      <c r="D63" s="3">
        <v>450</v>
      </c>
      <c r="E63" s="3">
        <f t="shared" si="5"/>
        <v>390</v>
      </c>
      <c r="F63" s="3">
        <f t="shared" si="7"/>
        <v>450</v>
      </c>
      <c r="G63" s="3"/>
      <c r="H63" s="3">
        <f t="shared" si="6"/>
        <v>520</v>
      </c>
      <c r="I63" s="3"/>
      <c r="J63" s="3">
        <f t="shared" si="3"/>
        <v>390</v>
      </c>
      <c r="K63" s="3">
        <f t="shared" si="4"/>
        <v>520</v>
      </c>
    </row>
    <row r="64" spans="2:11" x14ac:dyDescent="0.2">
      <c r="C64" s="3">
        <v>10</v>
      </c>
      <c r="D64" s="3">
        <v>470</v>
      </c>
      <c r="E64" s="3">
        <f t="shared" si="5"/>
        <v>410</v>
      </c>
      <c r="F64" s="3">
        <f t="shared" si="7"/>
        <v>470</v>
      </c>
      <c r="G64" s="3"/>
      <c r="H64" s="3">
        <f t="shared" si="6"/>
        <v>540</v>
      </c>
      <c r="I64" s="3"/>
      <c r="J64" s="3">
        <f>$C64*20+INT($C64/G$54)*G$55+INT(MOD($C64,G$54)/E$54)*E$55</f>
        <v>410</v>
      </c>
      <c r="K64" s="3">
        <f t="shared" si="4"/>
        <v>540</v>
      </c>
    </row>
    <row r="65" spans="3:11" x14ac:dyDescent="0.2">
      <c r="C65" s="3">
        <v>11</v>
      </c>
      <c r="D65">
        <v>690</v>
      </c>
      <c r="E65" s="3">
        <f t="shared" si="5"/>
        <v>430</v>
      </c>
      <c r="F65" s="3">
        <f t="shared" si="7"/>
        <v>490</v>
      </c>
      <c r="G65" s="3">
        <f t="shared" ref="G65:G107" si="8">$C65*20+INT($C65/G$54)*G$55</f>
        <v>690</v>
      </c>
      <c r="H65" s="3">
        <f>$C65*20+INT($C65/F$54)*F$55+INT(MOD($C65,F$54)/E$54)*E$55</f>
        <v>560</v>
      </c>
      <c r="I65" s="3">
        <f>$C65*20+INT($C65/G$54)*G$55+INT(MOD($C65,G$54)/F$54)*F$55</f>
        <v>690</v>
      </c>
      <c r="J65">
        <f>$C65*20+INT($C65/G$54)*G$55+INT(MOD($C65,G$54)/E$54)*E$55</f>
        <v>690</v>
      </c>
      <c r="K65">
        <f>$C65*20+INT($C65/G$54)*G$55+INT(MOD($C65,G$54)/F$54)*F$55+INT(MOD(MOD($C65,G$54),F$54)/E$54)*E$55</f>
        <v>690</v>
      </c>
    </row>
    <row r="66" spans="3:11" x14ac:dyDescent="0.2">
      <c r="C66" s="3">
        <v>12</v>
      </c>
      <c r="D66">
        <v>710</v>
      </c>
      <c r="E66" s="3">
        <f t="shared" si="5"/>
        <v>520</v>
      </c>
      <c r="F66" s="3">
        <f t="shared" si="7"/>
        <v>780</v>
      </c>
      <c r="G66" s="3">
        <f t="shared" si="8"/>
        <v>710</v>
      </c>
      <c r="H66" s="3">
        <f t="shared" ref="H66:H107" si="9">$C66*20+INT($C66/F$54)*F$55+INT(MOD(C66,F$54)/E$54)*E$55</f>
        <v>780</v>
      </c>
      <c r="I66" s="3">
        <f t="shared" ref="I66:I107" si="10">$C66*20+INT($C66/G$54)*G$55+INT(MOD($C66,G$54)/F$54)*F$55</f>
        <v>710</v>
      </c>
      <c r="J66" s="3">
        <f t="shared" ref="J66:J106" si="11">$C66*20+INT($C66/G$54)*G$55+INT(MOD($C66,G$54)/E$54)*E$55</f>
        <v>710</v>
      </c>
      <c r="K66" s="3">
        <f t="shared" ref="K66:K107" si="12">$C66*20+INT($C66/G$54)*G$55+INT(MOD($C66,G$54)/F$54)*F$55+INT(MOD(MOD($C66,G$54),F$54)/E$54)*E$55</f>
        <v>710</v>
      </c>
    </row>
    <row r="67" spans="3:11" x14ac:dyDescent="0.2">
      <c r="C67" s="3">
        <v>13</v>
      </c>
      <c r="D67" s="3">
        <v>730</v>
      </c>
      <c r="E67" s="3">
        <f t="shared" si="5"/>
        <v>540</v>
      </c>
      <c r="F67" s="3">
        <f t="shared" si="7"/>
        <v>800</v>
      </c>
      <c r="G67" s="3">
        <f t="shared" si="8"/>
        <v>730</v>
      </c>
      <c r="H67" s="3">
        <f t="shared" si="9"/>
        <v>800</v>
      </c>
      <c r="I67" s="3">
        <f t="shared" si="10"/>
        <v>730</v>
      </c>
      <c r="J67" s="3">
        <f t="shared" si="11"/>
        <v>730</v>
      </c>
      <c r="K67" s="3">
        <f t="shared" si="12"/>
        <v>730</v>
      </c>
    </row>
    <row r="68" spans="3:11" x14ac:dyDescent="0.2">
      <c r="C68" s="3">
        <v>14</v>
      </c>
      <c r="D68" s="3">
        <v>750</v>
      </c>
      <c r="E68" s="3">
        <f t="shared" si="5"/>
        <v>560</v>
      </c>
      <c r="F68" s="3">
        <f t="shared" si="7"/>
        <v>820</v>
      </c>
      <c r="G68" s="3">
        <f t="shared" si="8"/>
        <v>750</v>
      </c>
      <c r="H68" s="3">
        <f t="shared" si="9"/>
        <v>820</v>
      </c>
      <c r="I68" s="3">
        <f t="shared" si="10"/>
        <v>750</v>
      </c>
      <c r="J68" s="3">
        <f t="shared" si="11"/>
        <v>820</v>
      </c>
      <c r="K68" s="3">
        <f t="shared" si="12"/>
        <v>820</v>
      </c>
    </row>
    <row r="69" spans="3:11" x14ac:dyDescent="0.2">
      <c r="C69" s="3">
        <v>15</v>
      </c>
      <c r="D69" s="3">
        <v>770</v>
      </c>
      <c r="E69" s="3">
        <f t="shared" si="5"/>
        <v>650</v>
      </c>
      <c r="F69" s="3">
        <f t="shared" si="7"/>
        <v>840</v>
      </c>
      <c r="G69" s="3">
        <f t="shared" si="8"/>
        <v>770</v>
      </c>
      <c r="H69" s="3">
        <f t="shared" si="9"/>
        <v>910</v>
      </c>
      <c r="I69" s="3">
        <f t="shared" si="10"/>
        <v>770</v>
      </c>
      <c r="J69" s="3">
        <f t="shared" si="11"/>
        <v>840</v>
      </c>
      <c r="K69" s="3">
        <f t="shared" si="12"/>
        <v>840</v>
      </c>
    </row>
    <row r="70" spans="3:11" x14ac:dyDescent="0.2">
      <c r="C70" s="3">
        <v>16</v>
      </c>
      <c r="D70" s="3">
        <v>790</v>
      </c>
      <c r="E70" s="3">
        <f t="shared" si="5"/>
        <v>670</v>
      </c>
      <c r="F70" s="3">
        <f t="shared" si="7"/>
        <v>860</v>
      </c>
      <c r="G70" s="3">
        <f t="shared" si="8"/>
        <v>790</v>
      </c>
      <c r="H70" s="3">
        <f t="shared" si="9"/>
        <v>930</v>
      </c>
      <c r="I70" s="3">
        <f t="shared" si="10"/>
        <v>790</v>
      </c>
      <c r="J70" s="3">
        <f t="shared" si="11"/>
        <v>860</v>
      </c>
      <c r="K70" s="3">
        <f t="shared" si="12"/>
        <v>860</v>
      </c>
    </row>
    <row r="71" spans="3:11" x14ac:dyDescent="0.2">
      <c r="C71" s="3">
        <v>17</v>
      </c>
      <c r="D71" s="3">
        <v>810</v>
      </c>
      <c r="E71" s="3">
        <f t="shared" si="5"/>
        <v>690</v>
      </c>
      <c r="F71" s="3">
        <f t="shared" si="7"/>
        <v>880</v>
      </c>
      <c r="G71" s="3">
        <f t="shared" si="8"/>
        <v>810</v>
      </c>
      <c r="H71" s="3">
        <f t="shared" si="9"/>
        <v>950</v>
      </c>
      <c r="I71" s="3">
        <f t="shared" si="10"/>
        <v>1080</v>
      </c>
      <c r="J71" s="3">
        <f t="shared" si="11"/>
        <v>950</v>
      </c>
      <c r="K71" s="3">
        <f t="shared" si="12"/>
        <v>1080</v>
      </c>
    </row>
    <row r="72" spans="3:11" x14ac:dyDescent="0.2">
      <c r="C72" s="3">
        <v>18</v>
      </c>
      <c r="D72" s="3">
        <v>830</v>
      </c>
      <c r="E72" s="3">
        <f t="shared" si="5"/>
        <v>780</v>
      </c>
      <c r="F72" s="3">
        <f t="shared" si="7"/>
        <v>1170</v>
      </c>
      <c r="G72" s="3">
        <f t="shared" si="8"/>
        <v>830</v>
      </c>
      <c r="H72" s="3">
        <f t="shared" si="9"/>
        <v>1170</v>
      </c>
      <c r="I72" s="3">
        <f t="shared" si="10"/>
        <v>1100</v>
      </c>
      <c r="J72" s="3">
        <f t="shared" si="11"/>
        <v>970</v>
      </c>
      <c r="K72" s="3">
        <f t="shared" si="12"/>
        <v>1100</v>
      </c>
    </row>
    <row r="73" spans="3:11" x14ac:dyDescent="0.2">
      <c r="C73" s="3">
        <v>19</v>
      </c>
      <c r="D73" s="3">
        <v>850</v>
      </c>
      <c r="E73" s="3">
        <f t="shared" si="5"/>
        <v>800</v>
      </c>
      <c r="F73" s="3">
        <f t="shared" si="7"/>
        <v>1190</v>
      </c>
      <c r="G73" s="3">
        <f t="shared" si="8"/>
        <v>850</v>
      </c>
      <c r="H73" s="3">
        <f t="shared" si="9"/>
        <v>1190</v>
      </c>
      <c r="I73" s="3">
        <f t="shared" si="10"/>
        <v>1120</v>
      </c>
      <c r="J73" s="3">
        <f t="shared" si="11"/>
        <v>990</v>
      </c>
      <c r="K73" s="3">
        <f t="shared" si="12"/>
        <v>1120</v>
      </c>
    </row>
    <row r="74" spans="3:11" x14ac:dyDescent="0.2">
      <c r="C74" s="3">
        <v>20</v>
      </c>
      <c r="D74" s="3">
        <v>870</v>
      </c>
      <c r="E74" s="3">
        <f t="shared" si="5"/>
        <v>820</v>
      </c>
      <c r="F74" s="3">
        <f t="shared" si="7"/>
        <v>1210</v>
      </c>
      <c r="G74" s="3">
        <f t="shared" si="8"/>
        <v>870</v>
      </c>
      <c r="H74" s="3">
        <f t="shared" si="9"/>
        <v>1210</v>
      </c>
      <c r="I74" s="3">
        <f t="shared" si="10"/>
        <v>1140</v>
      </c>
      <c r="J74" s="3">
        <f t="shared" si="11"/>
        <v>1080</v>
      </c>
      <c r="K74" s="3">
        <f t="shared" si="12"/>
        <v>1210</v>
      </c>
    </row>
    <row r="75" spans="3:11" x14ac:dyDescent="0.2">
      <c r="C75" s="3">
        <v>21</v>
      </c>
      <c r="D75" s="3">
        <v>890</v>
      </c>
      <c r="E75" s="3">
        <f t="shared" si="5"/>
        <v>910</v>
      </c>
      <c r="F75" s="3">
        <f t="shared" si="7"/>
        <v>1230</v>
      </c>
      <c r="G75" s="3">
        <f t="shared" si="8"/>
        <v>890</v>
      </c>
      <c r="H75" s="3">
        <f t="shared" si="9"/>
        <v>1300</v>
      </c>
      <c r="I75" s="3">
        <f t="shared" si="10"/>
        <v>1160</v>
      </c>
      <c r="J75" s="3">
        <f t="shared" si="11"/>
        <v>1100</v>
      </c>
      <c r="K75" s="3">
        <f t="shared" si="12"/>
        <v>1230</v>
      </c>
    </row>
    <row r="76" spans="3:11" x14ac:dyDescent="0.2">
      <c r="C76" s="3">
        <v>22</v>
      </c>
      <c r="D76" s="3">
        <v>910</v>
      </c>
      <c r="E76" s="3">
        <f t="shared" si="5"/>
        <v>930</v>
      </c>
      <c r="F76" s="3">
        <f t="shared" si="7"/>
        <v>1250</v>
      </c>
      <c r="G76" s="3">
        <f t="shared" si="8"/>
        <v>1380</v>
      </c>
      <c r="H76" s="3">
        <f t="shared" si="9"/>
        <v>1320</v>
      </c>
      <c r="I76" s="3">
        <f t="shared" si="10"/>
        <v>1380</v>
      </c>
      <c r="J76" s="3">
        <f t="shared" si="11"/>
        <v>1380</v>
      </c>
      <c r="K76" s="3">
        <f t="shared" si="12"/>
        <v>1380</v>
      </c>
    </row>
    <row r="77" spans="3:11" x14ac:dyDescent="0.2">
      <c r="C77" s="3">
        <v>23</v>
      </c>
      <c r="D77" s="3">
        <v>930</v>
      </c>
      <c r="E77" s="3">
        <f t="shared" si="5"/>
        <v>950</v>
      </c>
      <c r="F77" s="3">
        <f t="shared" si="7"/>
        <v>1270</v>
      </c>
      <c r="G77" s="3">
        <f t="shared" si="8"/>
        <v>1400</v>
      </c>
      <c r="H77" s="3">
        <f t="shared" si="9"/>
        <v>1340</v>
      </c>
      <c r="I77" s="3">
        <f t="shared" si="10"/>
        <v>1400</v>
      </c>
      <c r="J77" s="3">
        <f t="shared" si="11"/>
        <v>1400</v>
      </c>
      <c r="K77" s="3">
        <f t="shared" si="12"/>
        <v>1400</v>
      </c>
    </row>
    <row r="78" spans="3:11" x14ac:dyDescent="0.2">
      <c r="C78" s="3">
        <v>24</v>
      </c>
      <c r="D78" s="3">
        <v>950</v>
      </c>
      <c r="E78" s="3">
        <f t="shared" si="5"/>
        <v>1040</v>
      </c>
      <c r="F78" s="3">
        <f t="shared" si="7"/>
        <v>1560</v>
      </c>
      <c r="G78" s="3">
        <f t="shared" si="8"/>
        <v>1420</v>
      </c>
      <c r="H78" s="3">
        <f t="shared" si="9"/>
        <v>1560</v>
      </c>
      <c r="I78" s="3">
        <f t="shared" si="10"/>
        <v>1420</v>
      </c>
      <c r="J78" s="3">
        <f t="shared" si="11"/>
        <v>1420</v>
      </c>
      <c r="K78" s="3">
        <f t="shared" si="12"/>
        <v>1420</v>
      </c>
    </row>
    <row r="79" spans="3:11" x14ac:dyDescent="0.2">
      <c r="C79" s="3">
        <v>25</v>
      </c>
      <c r="D79" s="3">
        <v>970</v>
      </c>
      <c r="E79" s="3">
        <f t="shared" si="5"/>
        <v>1060</v>
      </c>
      <c r="F79" s="3">
        <f t="shared" si="7"/>
        <v>1580</v>
      </c>
      <c r="G79" s="3">
        <f t="shared" si="8"/>
        <v>1440</v>
      </c>
      <c r="H79" s="3">
        <f t="shared" si="9"/>
        <v>1580</v>
      </c>
      <c r="I79" s="3">
        <f t="shared" si="10"/>
        <v>1440</v>
      </c>
      <c r="J79" s="3">
        <f>$C79*20+INT($C79/G$54)*G$55+INT(MOD($C79,G$54)/E$54)*E$55</f>
        <v>1510</v>
      </c>
      <c r="K79" s="3">
        <f t="shared" si="12"/>
        <v>1510</v>
      </c>
    </row>
    <row r="80" spans="3:11" x14ac:dyDescent="0.2">
      <c r="C80" s="3">
        <v>26</v>
      </c>
      <c r="D80" s="3">
        <v>990</v>
      </c>
      <c r="E80" s="3">
        <f t="shared" si="5"/>
        <v>1080</v>
      </c>
      <c r="F80" s="3">
        <f t="shared" si="7"/>
        <v>1600</v>
      </c>
      <c r="G80" s="3">
        <f t="shared" si="8"/>
        <v>1460</v>
      </c>
      <c r="H80" s="3">
        <f t="shared" si="9"/>
        <v>1600</v>
      </c>
      <c r="I80" s="3">
        <f t="shared" si="10"/>
        <v>1460</v>
      </c>
      <c r="J80" s="3">
        <f t="shared" si="11"/>
        <v>1530</v>
      </c>
      <c r="K80" s="3">
        <f t="shared" si="12"/>
        <v>1530</v>
      </c>
    </row>
    <row r="81" spans="3:11" x14ac:dyDescent="0.2">
      <c r="C81" s="3">
        <v>27</v>
      </c>
      <c r="D81" s="3">
        <v>1010</v>
      </c>
      <c r="E81" s="3">
        <f t="shared" si="5"/>
        <v>1170</v>
      </c>
      <c r="F81" s="3">
        <f t="shared" si="7"/>
        <v>1620</v>
      </c>
      <c r="G81" s="3">
        <f t="shared" si="8"/>
        <v>1480</v>
      </c>
      <c r="H81" s="3">
        <f t="shared" si="9"/>
        <v>1690</v>
      </c>
      <c r="I81" s="3">
        <f t="shared" si="10"/>
        <v>1480</v>
      </c>
      <c r="J81" s="3">
        <f t="shared" si="11"/>
        <v>1550</v>
      </c>
      <c r="K81" s="3">
        <f t="shared" si="12"/>
        <v>1550</v>
      </c>
    </row>
    <row r="82" spans="3:11" x14ac:dyDescent="0.2">
      <c r="C82" s="3">
        <v>28</v>
      </c>
      <c r="D82" s="3">
        <v>1030</v>
      </c>
      <c r="E82" s="3">
        <f t="shared" si="5"/>
        <v>1190</v>
      </c>
      <c r="F82" s="3">
        <f t="shared" si="7"/>
        <v>1640</v>
      </c>
      <c r="G82" s="3">
        <f t="shared" si="8"/>
        <v>1500</v>
      </c>
      <c r="H82" s="3">
        <f t="shared" si="9"/>
        <v>1710</v>
      </c>
      <c r="I82" s="3">
        <f t="shared" si="10"/>
        <v>1770</v>
      </c>
      <c r="J82" s="3">
        <f t="shared" si="11"/>
        <v>1640</v>
      </c>
      <c r="K82" s="3">
        <f t="shared" si="12"/>
        <v>1770</v>
      </c>
    </row>
    <row r="83" spans="3:11" x14ac:dyDescent="0.2">
      <c r="C83" s="3">
        <v>29</v>
      </c>
      <c r="D83" s="3">
        <v>1050</v>
      </c>
      <c r="E83" s="3">
        <f t="shared" si="5"/>
        <v>1210</v>
      </c>
      <c r="F83" s="3">
        <f t="shared" si="7"/>
        <v>1660</v>
      </c>
      <c r="G83" s="3">
        <f t="shared" si="8"/>
        <v>1520</v>
      </c>
      <c r="H83" s="3">
        <f t="shared" si="9"/>
        <v>1730</v>
      </c>
      <c r="I83" s="3">
        <f t="shared" si="10"/>
        <v>1790</v>
      </c>
      <c r="J83" s="3">
        <f t="shared" si="11"/>
        <v>1660</v>
      </c>
      <c r="K83" s="3">
        <f t="shared" si="12"/>
        <v>1790</v>
      </c>
    </row>
    <row r="84" spans="3:11" x14ac:dyDescent="0.2">
      <c r="C84" s="3">
        <v>30</v>
      </c>
      <c r="D84" s="3">
        <v>1070</v>
      </c>
      <c r="E84" s="3">
        <f t="shared" si="5"/>
        <v>1300</v>
      </c>
      <c r="F84" s="3">
        <f t="shared" si="7"/>
        <v>1950</v>
      </c>
      <c r="G84" s="3">
        <f t="shared" si="8"/>
        <v>1540</v>
      </c>
      <c r="H84" s="3">
        <f t="shared" si="9"/>
        <v>1950</v>
      </c>
      <c r="I84" s="3">
        <f t="shared" si="10"/>
        <v>1810</v>
      </c>
      <c r="J84" s="3">
        <f t="shared" si="11"/>
        <v>1680</v>
      </c>
      <c r="K84" s="3">
        <f t="shared" si="12"/>
        <v>1810</v>
      </c>
    </row>
    <row r="85" spans="3:11" x14ac:dyDescent="0.2">
      <c r="C85" s="3">
        <v>31</v>
      </c>
      <c r="D85" s="3">
        <v>1090</v>
      </c>
      <c r="E85" s="3">
        <f t="shared" si="5"/>
        <v>1320</v>
      </c>
      <c r="F85" s="3">
        <f t="shared" si="7"/>
        <v>1970</v>
      </c>
      <c r="G85" s="3">
        <f t="shared" si="8"/>
        <v>1560</v>
      </c>
      <c r="H85" s="3">
        <f t="shared" si="9"/>
        <v>1970</v>
      </c>
      <c r="I85" s="3">
        <f t="shared" si="10"/>
        <v>1830</v>
      </c>
      <c r="J85" s="3">
        <f t="shared" si="11"/>
        <v>1770</v>
      </c>
      <c r="K85" s="3">
        <f t="shared" si="12"/>
        <v>1900</v>
      </c>
    </row>
    <row r="86" spans="3:11" x14ac:dyDescent="0.2">
      <c r="C86" s="3">
        <v>32</v>
      </c>
      <c r="D86" s="3">
        <v>1110</v>
      </c>
      <c r="E86" s="3">
        <f t="shared" si="5"/>
        <v>1340</v>
      </c>
      <c r="F86" s="3">
        <f t="shared" si="7"/>
        <v>1990</v>
      </c>
      <c r="G86" s="3">
        <f t="shared" si="8"/>
        <v>1580</v>
      </c>
      <c r="H86" s="3">
        <f t="shared" si="9"/>
        <v>1990</v>
      </c>
      <c r="I86" s="3">
        <f t="shared" si="10"/>
        <v>1850</v>
      </c>
      <c r="J86" s="3">
        <f t="shared" si="11"/>
        <v>1790</v>
      </c>
      <c r="K86" s="3">
        <f t="shared" si="12"/>
        <v>1920</v>
      </c>
    </row>
    <row r="87" spans="3:11" x14ac:dyDescent="0.2">
      <c r="C87" s="3">
        <v>33</v>
      </c>
      <c r="D87" s="3">
        <v>1130</v>
      </c>
      <c r="E87" s="3">
        <f t="shared" si="5"/>
        <v>1430</v>
      </c>
      <c r="F87" s="3">
        <f t="shared" si="7"/>
        <v>2010</v>
      </c>
      <c r="G87" s="3">
        <f t="shared" si="8"/>
        <v>2070</v>
      </c>
      <c r="H87" s="3">
        <f t="shared" si="9"/>
        <v>2080</v>
      </c>
      <c r="I87" s="3">
        <f t="shared" si="10"/>
        <v>2070</v>
      </c>
      <c r="J87" s="3">
        <f t="shared" si="11"/>
        <v>2070</v>
      </c>
      <c r="K87" s="3">
        <f t="shared" si="12"/>
        <v>2070</v>
      </c>
    </row>
    <row r="88" spans="3:11" x14ac:dyDescent="0.2">
      <c r="C88" s="3">
        <v>34</v>
      </c>
      <c r="D88" s="3">
        <v>1150</v>
      </c>
      <c r="E88" s="3">
        <f t="shared" si="5"/>
        <v>1450</v>
      </c>
      <c r="F88" s="3">
        <f t="shared" si="7"/>
        <v>2030</v>
      </c>
      <c r="G88" s="3">
        <f t="shared" si="8"/>
        <v>2090</v>
      </c>
      <c r="H88" s="3">
        <f t="shared" si="9"/>
        <v>2100</v>
      </c>
      <c r="I88" s="3">
        <f t="shared" si="10"/>
        <v>2090</v>
      </c>
      <c r="J88" s="3">
        <f t="shared" si="11"/>
        <v>2090</v>
      </c>
      <c r="K88" s="3">
        <f t="shared" si="12"/>
        <v>2090</v>
      </c>
    </row>
    <row r="89" spans="3:11" x14ac:dyDescent="0.2">
      <c r="C89" s="3">
        <v>35</v>
      </c>
      <c r="D89" s="3">
        <v>1170</v>
      </c>
      <c r="E89" s="3">
        <f t="shared" si="5"/>
        <v>1470</v>
      </c>
      <c r="F89" s="3">
        <f t="shared" si="7"/>
        <v>2050</v>
      </c>
      <c r="G89" s="3">
        <f t="shared" si="8"/>
        <v>2110</v>
      </c>
      <c r="H89" s="3">
        <f t="shared" si="9"/>
        <v>2120</v>
      </c>
      <c r="I89" s="3">
        <f t="shared" si="10"/>
        <v>2110</v>
      </c>
      <c r="J89" s="3">
        <f t="shared" si="11"/>
        <v>2110</v>
      </c>
      <c r="K89" s="3">
        <f t="shared" si="12"/>
        <v>2110</v>
      </c>
    </row>
    <row r="90" spans="3:11" x14ac:dyDescent="0.2">
      <c r="C90" s="3">
        <v>36</v>
      </c>
      <c r="D90" s="3">
        <v>1190</v>
      </c>
      <c r="E90" s="3">
        <f t="shared" ref="E90:E107" si="13">C90*20+INT(C90/E$54)*E$55</f>
        <v>1560</v>
      </c>
      <c r="F90" s="3">
        <f t="shared" si="7"/>
        <v>2340</v>
      </c>
      <c r="G90" s="3">
        <f t="shared" si="8"/>
        <v>2130</v>
      </c>
      <c r="H90" s="3">
        <f t="shared" si="9"/>
        <v>2340</v>
      </c>
      <c r="I90" s="3">
        <f t="shared" si="10"/>
        <v>2130</v>
      </c>
      <c r="J90" s="3">
        <f t="shared" si="11"/>
        <v>2200</v>
      </c>
      <c r="K90" s="3">
        <f t="shared" si="12"/>
        <v>2200</v>
      </c>
    </row>
    <row r="91" spans="3:11" x14ac:dyDescent="0.2">
      <c r="C91" s="3">
        <v>37</v>
      </c>
      <c r="D91" s="3">
        <v>1210</v>
      </c>
      <c r="E91" s="3">
        <f t="shared" si="13"/>
        <v>1580</v>
      </c>
      <c r="F91" s="3">
        <f t="shared" si="7"/>
        <v>2360</v>
      </c>
      <c r="G91" s="3">
        <f t="shared" si="8"/>
        <v>2150</v>
      </c>
      <c r="H91" s="3">
        <f t="shared" si="9"/>
        <v>2360</v>
      </c>
      <c r="I91" s="3">
        <f t="shared" si="10"/>
        <v>2150</v>
      </c>
      <c r="J91" s="3">
        <f t="shared" si="11"/>
        <v>2220</v>
      </c>
      <c r="K91" s="3">
        <f t="shared" si="12"/>
        <v>2220</v>
      </c>
    </row>
    <row r="92" spans="3:11" x14ac:dyDescent="0.2">
      <c r="C92" s="3">
        <v>38</v>
      </c>
      <c r="D92" s="3">
        <v>1230</v>
      </c>
      <c r="E92" s="3">
        <f t="shared" si="13"/>
        <v>1600</v>
      </c>
      <c r="F92" s="3">
        <f t="shared" si="7"/>
        <v>2380</v>
      </c>
      <c r="G92" s="3">
        <f t="shared" si="8"/>
        <v>2170</v>
      </c>
      <c r="H92" s="3">
        <f t="shared" si="9"/>
        <v>2380</v>
      </c>
      <c r="I92" s="3">
        <f t="shared" si="10"/>
        <v>2170</v>
      </c>
      <c r="J92" s="3">
        <f t="shared" si="11"/>
        <v>2240</v>
      </c>
      <c r="K92" s="3">
        <f t="shared" si="12"/>
        <v>2240</v>
      </c>
    </row>
    <row r="93" spans="3:11" x14ac:dyDescent="0.2">
      <c r="C93" s="3">
        <v>39</v>
      </c>
      <c r="D93" s="3">
        <v>1250</v>
      </c>
      <c r="E93" s="3">
        <f t="shared" si="13"/>
        <v>1690</v>
      </c>
      <c r="F93" s="3">
        <f t="shared" si="7"/>
        <v>2400</v>
      </c>
      <c r="G93" s="3">
        <f t="shared" si="8"/>
        <v>2190</v>
      </c>
      <c r="H93" s="3">
        <f t="shared" si="9"/>
        <v>2470</v>
      </c>
      <c r="I93" s="3">
        <f t="shared" si="10"/>
        <v>2460</v>
      </c>
      <c r="J93" s="3">
        <f t="shared" si="11"/>
        <v>2330</v>
      </c>
      <c r="K93" s="3">
        <f t="shared" si="12"/>
        <v>2460</v>
      </c>
    </row>
    <row r="94" spans="3:11" x14ac:dyDescent="0.2">
      <c r="C94" s="3">
        <v>40</v>
      </c>
      <c r="D94" s="3">
        <v>1270</v>
      </c>
      <c r="E94" s="3">
        <f t="shared" si="13"/>
        <v>1710</v>
      </c>
      <c r="F94" s="3">
        <f t="shared" si="7"/>
        <v>2420</v>
      </c>
      <c r="G94" s="3">
        <f t="shared" si="8"/>
        <v>2210</v>
      </c>
      <c r="H94" s="3">
        <f t="shared" si="9"/>
        <v>2490</v>
      </c>
      <c r="I94" s="3">
        <f t="shared" si="10"/>
        <v>2480</v>
      </c>
      <c r="J94" s="3">
        <f t="shared" si="11"/>
        <v>2350</v>
      </c>
      <c r="K94" s="3">
        <f t="shared" si="12"/>
        <v>2480</v>
      </c>
    </row>
    <row r="95" spans="3:11" x14ac:dyDescent="0.2">
      <c r="C95" s="3">
        <v>41</v>
      </c>
      <c r="D95" s="3">
        <v>1290</v>
      </c>
      <c r="E95" s="3">
        <f t="shared" si="13"/>
        <v>1730</v>
      </c>
      <c r="F95" s="3">
        <f t="shared" si="7"/>
        <v>2440</v>
      </c>
      <c r="G95" s="3">
        <f t="shared" si="8"/>
        <v>2230</v>
      </c>
      <c r="H95" s="3">
        <f t="shared" si="9"/>
        <v>2510</v>
      </c>
      <c r="I95" s="3">
        <f t="shared" si="10"/>
        <v>2500</v>
      </c>
      <c r="J95" s="3">
        <f t="shared" si="11"/>
        <v>2370</v>
      </c>
      <c r="K95" s="3">
        <f t="shared" si="12"/>
        <v>2500</v>
      </c>
    </row>
    <row r="96" spans="3:11" x14ac:dyDescent="0.2">
      <c r="C96" s="3">
        <v>42</v>
      </c>
      <c r="D96" s="3">
        <v>1310</v>
      </c>
      <c r="E96" s="3">
        <f t="shared" si="13"/>
        <v>1820</v>
      </c>
      <c r="F96" s="3">
        <f t="shared" si="7"/>
        <v>2730</v>
      </c>
      <c r="G96" s="3">
        <f t="shared" si="8"/>
        <v>2250</v>
      </c>
      <c r="H96" s="3">
        <f t="shared" si="9"/>
        <v>2730</v>
      </c>
      <c r="I96" s="3">
        <f t="shared" si="10"/>
        <v>2520</v>
      </c>
      <c r="J96" s="3">
        <f t="shared" si="11"/>
        <v>2460</v>
      </c>
      <c r="K96" s="3">
        <f t="shared" si="12"/>
        <v>2590</v>
      </c>
    </row>
    <row r="97" spans="3:11" x14ac:dyDescent="0.2">
      <c r="C97" s="3">
        <v>43</v>
      </c>
      <c r="D97" s="3">
        <v>1330</v>
      </c>
      <c r="E97" s="3">
        <f t="shared" si="13"/>
        <v>1840</v>
      </c>
      <c r="F97" s="3">
        <f t="shared" si="7"/>
        <v>2750</v>
      </c>
      <c r="G97" s="3">
        <f t="shared" si="8"/>
        <v>2270</v>
      </c>
      <c r="H97" s="3">
        <f t="shared" si="9"/>
        <v>2750</v>
      </c>
      <c r="I97" s="3">
        <f t="shared" si="10"/>
        <v>2540</v>
      </c>
      <c r="J97" s="3">
        <f t="shared" si="11"/>
        <v>2480</v>
      </c>
      <c r="K97" s="3">
        <f t="shared" si="12"/>
        <v>2610</v>
      </c>
    </row>
    <row r="98" spans="3:11" x14ac:dyDescent="0.2">
      <c r="C98" s="3">
        <v>44</v>
      </c>
      <c r="D98" s="3">
        <v>1350</v>
      </c>
      <c r="E98" s="3">
        <f t="shared" si="13"/>
        <v>1860</v>
      </c>
      <c r="F98" s="3">
        <f t="shared" si="7"/>
        <v>2770</v>
      </c>
      <c r="G98" s="3">
        <f t="shared" si="8"/>
        <v>2760</v>
      </c>
      <c r="H98" s="3">
        <f t="shared" si="9"/>
        <v>2770</v>
      </c>
      <c r="I98" s="3">
        <f t="shared" si="10"/>
        <v>2760</v>
      </c>
      <c r="J98" s="3">
        <f t="shared" si="11"/>
        <v>2760</v>
      </c>
      <c r="K98" s="3">
        <f t="shared" si="12"/>
        <v>2760</v>
      </c>
    </row>
    <row r="99" spans="3:11" x14ac:dyDescent="0.2">
      <c r="C99" s="3">
        <v>45</v>
      </c>
      <c r="D99" s="3">
        <v>1370</v>
      </c>
      <c r="E99" s="3">
        <f t="shared" si="13"/>
        <v>1950</v>
      </c>
      <c r="F99" s="3">
        <f t="shared" si="7"/>
        <v>2790</v>
      </c>
      <c r="G99" s="3">
        <f t="shared" si="8"/>
        <v>2780</v>
      </c>
      <c r="H99" s="3">
        <f t="shared" si="9"/>
        <v>2860</v>
      </c>
      <c r="I99" s="3">
        <f t="shared" si="10"/>
        <v>2780</v>
      </c>
      <c r="J99" s="3">
        <f t="shared" si="11"/>
        <v>2780</v>
      </c>
      <c r="K99" s="3">
        <f t="shared" si="12"/>
        <v>2780</v>
      </c>
    </row>
    <row r="100" spans="3:11" x14ac:dyDescent="0.2">
      <c r="C100" s="3">
        <v>46</v>
      </c>
      <c r="D100" s="3">
        <v>1390</v>
      </c>
      <c r="E100" s="3">
        <f t="shared" si="13"/>
        <v>1970</v>
      </c>
      <c r="F100" s="3">
        <f t="shared" si="7"/>
        <v>2810</v>
      </c>
      <c r="G100" s="3">
        <f t="shared" si="8"/>
        <v>2800</v>
      </c>
      <c r="H100" s="3">
        <f t="shared" si="9"/>
        <v>2880</v>
      </c>
      <c r="I100" s="3">
        <f t="shared" si="10"/>
        <v>2800</v>
      </c>
      <c r="J100" s="3">
        <f t="shared" si="11"/>
        <v>2800</v>
      </c>
      <c r="K100" s="3">
        <f t="shared" si="12"/>
        <v>2800</v>
      </c>
    </row>
    <row r="101" spans="3:11" x14ac:dyDescent="0.2">
      <c r="C101" s="3">
        <v>47</v>
      </c>
      <c r="D101" s="3">
        <v>1410</v>
      </c>
      <c r="E101" s="3">
        <f t="shared" si="13"/>
        <v>1990</v>
      </c>
      <c r="F101" s="3">
        <f t="shared" si="7"/>
        <v>2830</v>
      </c>
      <c r="G101" s="3">
        <f t="shared" si="8"/>
        <v>2820</v>
      </c>
      <c r="H101" s="3">
        <f t="shared" si="9"/>
        <v>2900</v>
      </c>
      <c r="I101" s="3">
        <f t="shared" si="10"/>
        <v>2820</v>
      </c>
      <c r="J101" s="3">
        <f t="shared" si="11"/>
        <v>2890</v>
      </c>
      <c r="K101" s="3">
        <f t="shared" si="12"/>
        <v>2890</v>
      </c>
    </row>
    <row r="102" spans="3:11" x14ac:dyDescent="0.2">
      <c r="C102" s="3">
        <v>48</v>
      </c>
      <c r="D102" s="3">
        <v>1430</v>
      </c>
      <c r="E102" s="3">
        <f t="shared" si="13"/>
        <v>2080</v>
      </c>
      <c r="F102" s="3">
        <f t="shared" si="7"/>
        <v>3120</v>
      </c>
      <c r="G102" s="3">
        <f t="shared" si="8"/>
        <v>2840</v>
      </c>
      <c r="H102" s="3">
        <f t="shared" si="9"/>
        <v>3120</v>
      </c>
      <c r="I102" s="3">
        <f t="shared" si="10"/>
        <v>2840</v>
      </c>
      <c r="J102" s="3">
        <f t="shared" si="11"/>
        <v>2910</v>
      </c>
      <c r="K102" s="3">
        <f t="shared" si="12"/>
        <v>2910</v>
      </c>
    </row>
    <row r="103" spans="3:11" x14ac:dyDescent="0.2">
      <c r="C103" s="3">
        <v>49</v>
      </c>
      <c r="D103" s="3">
        <v>1450</v>
      </c>
      <c r="E103" s="3">
        <f t="shared" si="13"/>
        <v>2100</v>
      </c>
      <c r="F103" s="3">
        <f t="shared" si="7"/>
        <v>3140</v>
      </c>
      <c r="G103" s="3">
        <f t="shared" si="8"/>
        <v>2860</v>
      </c>
      <c r="H103" s="3">
        <f t="shared" si="9"/>
        <v>3140</v>
      </c>
      <c r="I103" s="3">
        <f t="shared" si="10"/>
        <v>2860</v>
      </c>
      <c r="J103" s="3">
        <f t="shared" si="11"/>
        <v>2930</v>
      </c>
      <c r="K103" s="3">
        <f t="shared" si="12"/>
        <v>2930</v>
      </c>
    </row>
    <row r="104" spans="3:11" x14ac:dyDescent="0.2">
      <c r="C104" s="3">
        <v>50</v>
      </c>
      <c r="D104" s="3">
        <v>1470</v>
      </c>
      <c r="E104" s="3">
        <f t="shared" si="13"/>
        <v>2120</v>
      </c>
      <c r="F104" s="3">
        <f t="shared" si="7"/>
        <v>3160</v>
      </c>
      <c r="G104" s="3">
        <f t="shared" si="8"/>
        <v>2880</v>
      </c>
      <c r="H104" s="3">
        <f t="shared" si="9"/>
        <v>3160</v>
      </c>
      <c r="I104" s="3">
        <f t="shared" si="10"/>
        <v>3150</v>
      </c>
      <c r="J104" s="3">
        <f t="shared" si="11"/>
        <v>3020</v>
      </c>
      <c r="K104" s="3">
        <f t="shared" si="12"/>
        <v>3150</v>
      </c>
    </row>
    <row r="105" spans="3:11" x14ac:dyDescent="0.2">
      <c r="C105" s="3">
        <v>51</v>
      </c>
      <c r="D105" s="3">
        <v>1490</v>
      </c>
      <c r="E105" s="3">
        <f t="shared" si="13"/>
        <v>2210</v>
      </c>
      <c r="F105" s="3">
        <f t="shared" si="7"/>
        <v>3180</v>
      </c>
      <c r="G105" s="3">
        <f t="shared" si="8"/>
        <v>2900</v>
      </c>
      <c r="H105" s="3">
        <f t="shared" si="9"/>
        <v>3250</v>
      </c>
      <c r="I105" s="3">
        <f t="shared" si="10"/>
        <v>3170</v>
      </c>
      <c r="J105" s="3">
        <f t="shared" si="11"/>
        <v>3040</v>
      </c>
      <c r="K105" s="3">
        <f t="shared" si="12"/>
        <v>3170</v>
      </c>
    </row>
    <row r="106" spans="3:11" x14ac:dyDescent="0.2">
      <c r="C106" s="3">
        <v>52</v>
      </c>
      <c r="D106" s="3">
        <v>1510</v>
      </c>
      <c r="E106" s="3">
        <f t="shared" si="13"/>
        <v>2230</v>
      </c>
      <c r="F106" s="3">
        <f t="shared" si="7"/>
        <v>3200</v>
      </c>
      <c r="G106" s="3">
        <f t="shared" si="8"/>
        <v>2920</v>
      </c>
      <c r="H106" s="3">
        <f t="shared" si="9"/>
        <v>3270</v>
      </c>
      <c r="I106" s="3">
        <f t="shared" si="10"/>
        <v>3190</v>
      </c>
      <c r="J106" s="3">
        <f t="shared" si="11"/>
        <v>3060</v>
      </c>
      <c r="K106" s="3">
        <f t="shared" si="12"/>
        <v>3190</v>
      </c>
    </row>
    <row r="107" spans="3:11" x14ac:dyDescent="0.2">
      <c r="C107" s="3">
        <v>53</v>
      </c>
      <c r="D107" s="3">
        <v>1530</v>
      </c>
      <c r="E107" s="3">
        <f t="shared" si="13"/>
        <v>2250</v>
      </c>
      <c r="F107" s="3">
        <f t="shared" si="7"/>
        <v>3220</v>
      </c>
      <c r="G107" s="3">
        <f t="shared" si="8"/>
        <v>2940</v>
      </c>
      <c r="H107" s="3">
        <f t="shared" si="9"/>
        <v>3290</v>
      </c>
      <c r="I107" s="3">
        <f t="shared" si="10"/>
        <v>3210</v>
      </c>
      <c r="J107" s="3">
        <f>$C107*20+INT($C107/G$54)*G$55+INT(MOD($C107,G$54)/E$54)*E$55</f>
        <v>3150</v>
      </c>
      <c r="K107" s="3">
        <f t="shared" si="12"/>
        <v>3280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4:H210"/>
  <sheetViews>
    <sheetView workbookViewId="0">
      <selection activeCell="F11" sqref="F11"/>
    </sheetView>
  </sheetViews>
  <sheetFormatPr defaultRowHeight="12.75" x14ac:dyDescent="0.2"/>
  <cols>
    <col min="1" max="16384" width="9.140625" style="27"/>
  </cols>
  <sheetData>
    <row r="4" spans="5:8" x14ac:dyDescent="0.2">
      <c r="E4" s="27" t="s">
        <v>226</v>
      </c>
      <c r="H4" s="27">
        <v>200</v>
      </c>
    </row>
    <row r="5" spans="5:8" x14ac:dyDescent="0.2">
      <c r="E5" s="27" t="s">
        <v>227</v>
      </c>
      <c r="H5" s="27">
        <v>8</v>
      </c>
    </row>
    <row r="6" spans="5:8" x14ac:dyDescent="0.2">
      <c r="E6" s="27" t="s">
        <v>228</v>
      </c>
      <c r="H6" s="27">
        <v>0.7</v>
      </c>
    </row>
    <row r="7" spans="5:8" x14ac:dyDescent="0.2">
      <c r="E7" s="27">
        <v>0</v>
      </c>
      <c r="F7" s="27">
        <f>-$H$4*(1-E7/$H$4)^($H$7)/$H$7/$H$5</f>
        <v>-83.333333333333314</v>
      </c>
      <c r="H7" s="27">
        <f>1-H6</f>
        <v>0.30000000000000004</v>
      </c>
    </row>
    <row r="8" spans="5:8" x14ac:dyDescent="0.2">
      <c r="E8" s="27" t="s">
        <v>229</v>
      </c>
      <c r="F8" s="27" t="s">
        <v>230</v>
      </c>
      <c r="H8" s="27" t="s">
        <v>189</v>
      </c>
    </row>
    <row r="9" spans="5:8" x14ac:dyDescent="0.2">
      <c r="E9" s="27">
        <v>0</v>
      </c>
      <c r="F9" s="27">
        <v>-1</v>
      </c>
      <c r="G9" s="27">
        <v>0</v>
      </c>
      <c r="H9" s="27">
        <f>1/(F11-F9)</f>
        <v>0.88495575221238942</v>
      </c>
    </row>
    <row r="10" spans="5:8" x14ac:dyDescent="0.2">
      <c r="E10" s="27">
        <v>0</v>
      </c>
      <c r="F10" s="27">
        <v>0</v>
      </c>
      <c r="G10" s="27">
        <v>0</v>
      </c>
    </row>
    <row r="11" spans="5:8" x14ac:dyDescent="0.2">
      <c r="E11" s="27">
        <v>1</v>
      </c>
      <c r="F11" s="27">
        <f>ROUND(-$H$4*(1-E11/$H$4)^($H$7)/$H$7/$H$5-$F$7,2)</f>
        <v>0.13</v>
      </c>
      <c r="G11" s="27">
        <v>1</v>
      </c>
      <c r="H11" s="27">
        <f t="shared" ref="H11:H74" si="0">1/(F12-F11)</f>
        <v>8.3333333333333339</v>
      </c>
    </row>
    <row r="12" spans="5:8" x14ac:dyDescent="0.2">
      <c r="E12" s="27">
        <v>2</v>
      </c>
      <c r="F12" s="27">
        <f t="shared" ref="F12:F75" si="1">ROUND(-$H$4*(1-E12/$H$4)^($H$7)/$H$7/$H$5-$F$7,2)</f>
        <v>0.25</v>
      </c>
      <c r="G12" s="27">
        <v>2</v>
      </c>
      <c r="H12" s="27">
        <f t="shared" si="0"/>
        <v>7.6923076923076916</v>
      </c>
    </row>
    <row r="13" spans="5:8" x14ac:dyDescent="0.2">
      <c r="E13" s="27">
        <v>3</v>
      </c>
      <c r="F13" s="27">
        <f t="shared" si="1"/>
        <v>0.38</v>
      </c>
      <c r="G13" s="27">
        <v>3</v>
      </c>
      <c r="H13" s="27">
        <f t="shared" si="0"/>
        <v>8.3333333333333339</v>
      </c>
    </row>
    <row r="14" spans="5:8" x14ac:dyDescent="0.2">
      <c r="E14" s="27">
        <v>4</v>
      </c>
      <c r="F14" s="27">
        <f t="shared" si="1"/>
        <v>0.5</v>
      </c>
      <c r="G14" s="27">
        <v>4</v>
      </c>
      <c r="H14" s="27">
        <f t="shared" si="0"/>
        <v>7.6923076923076916</v>
      </c>
    </row>
    <row r="15" spans="5:8" x14ac:dyDescent="0.2">
      <c r="E15" s="27">
        <v>5</v>
      </c>
      <c r="F15" s="27">
        <f t="shared" si="1"/>
        <v>0.63</v>
      </c>
      <c r="G15" s="27">
        <v>5</v>
      </c>
      <c r="H15" s="27">
        <f t="shared" si="0"/>
        <v>7.6923076923076916</v>
      </c>
    </row>
    <row r="16" spans="5:8" x14ac:dyDescent="0.2">
      <c r="E16" s="27">
        <v>6</v>
      </c>
      <c r="F16" s="27">
        <f t="shared" si="1"/>
        <v>0.76</v>
      </c>
      <c r="G16" s="27">
        <v>6</v>
      </c>
      <c r="H16" s="27">
        <f t="shared" si="0"/>
        <v>7.6923076923076916</v>
      </c>
    </row>
    <row r="17" spans="5:8" x14ac:dyDescent="0.2">
      <c r="E17" s="27">
        <v>7</v>
      </c>
      <c r="F17" s="27">
        <f t="shared" si="1"/>
        <v>0.89</v>
      </c>
      <c r="G17" s="27">
        <v>7</v>
      </c>
      <c r="H17" s="27">
        <f t="shared" si="0"/>
        <v>8.3333333333333339</v>
      </c>
    </row>
    <row r="18" spans="5:8" x14ac:dyDescent="0.2">
      <c r="E18" s="27">
        <v>8</v>
      </c>
      <c r="F18" s="27">
        <f t="shared" si="1"/>
        <v>1.01</v>
      </c>
      <c r="G18" s="27">
        <v>8</v>
      </c>
      <c r="H18" s="27">
        <f t="shared" si="0"/>
        <v>7.6923076923076987</v>
      </c>
    </row>
    <row r="19" spans="5:8" x14ac:dyDescent="0.2">
      <c r="E19" s="27">
        <v>9</v>
      </c>
      <c r="F19" s="27">
        <f t="shared" si="1"/>
        <v>1.1399999999999999</v>
      </c>
      <c r="G19" s="27">
        <v>9</v>
      </c>
      <c r="H19" s="27">
        <f t="shared" si="0"/>
        <v>7.6923076923076854</v>
      </c>
    </row>
    <row r="20" spans="5:8" x14ac:dyDescent="0.2">
      <c r="E20" s="27">
        <v>10</v>
      </c>
      <c r="F20" s="27">
        <f t="shared" si="1"/>
        <v>1.27</v>
      </c>
      <c r="G20" s="27">
        <v>10</v>
      </c>
      <c r="H20" s="27">
        <f t="shared" si="0"/>
        <v>7.6923076923076987</v>
      </c>
    </row>
    <row r="21" spans="5:8" x14ac:dyDescent="0.2">
      <c r="E21" s="27">
        <v>11</v>
      </c>
      <c r="F21" s="27">
        <f t="shared" si="1"/>
        <v>1.4</v>
      </c>
      <c r="G21" s="27">
        <v>11</v>
      </c>
      <c r="H21" s="27">
        <f t="shared" si="0"/>
        <v>7.6923076923076854</v>
      </c>
    </row>
    <row r="22" spans="5:8" x14ac:dyDescent="0.2">
      <c r="E22" s="27">
        <v>12</v>
      </c>
      <c r="F22" s="27">
        <f t="shared" si="1"/>
        <v>1.53</v>
      </c>
      <c r="G22" s="27">
        <v>12</v>
      </c>
      <c r="H22" s="27">
        <f t="shared" si="0"/>
        <v>7.6923076923076987</v>
      </c>
    </row>
    <row r="23" spans="5:8" x14ac:dyDescent="0.2">
      <c r="E23" s="27">
        <v>13</v>
      </c>
      <c r="F23" s="27">
        <f t="shared" si="1"/>
        <v>1.66</v>
      </c>
      <c r="G23" s="27">
        <v>13</v>
      </c>
      <c r="H23" s="27">
        <f t="shared" si="0"/>
        <v>7.6923076923076854</v>
      </c>
    </row>
    <row r="24" spans="5:8" x14ac:dyDescent="0.2">
      <c r="E24" s="27">
        <v>14</v>
      </c>
      <c r="F24" s="27">
        <f t="shared" si="1"/>
        <v>1.79</v>
      </c>
      <c r="G24" s="27">
        <v>14</v>
      </c>
      <c r="H24" s="27">
        <f t="shared" si="0"/>
        <v>7.1428571428571477</v>
      </c>
    </row>
    <row r="25" spans="5:8" x14ac:dyDescent="0.2">
      <c r="E25" s="27">
        <v>15</v>
      </c>
      <c r="F25" s="27">
        <f t="shared" si="1"/>
        <v>1.93</v>
      </c>
      <c r="G25" s="27">
        <v>15</v>
      </c>
      <c r="H25" s="27">
        <f t="shared" si="0"/>
        <v>7.6923076923076854</v>
      </c>
    </row>
    <row r="26" spans="5:8" x14ac:dyDescent="0.2">
      <c r="E26" s="27">
        <v>16</v>
      </c>
      <c r="F26" s="27">
        <f t="shared" si="1"/>
        <v>2.06</v>
      </c>
      <c r="G26" s="27">
        <v>16</v>
      </c>
      <c r="H26" s="27">
        <f t="shared" si="0"/>
        <v>7.6923076923076987</v>
      </c>
    </row>
    <row r="27" spans="5:8" x14ac:dyDescent="0.2">
      <c r="E27" s="27">
        <v>17</v>
      </c>
      <c r="F27" s="27">
        <f t="shared" si="1"/>
        <v>2.19</v>
      </c>
      <c r="G27" s="27">
        <v>17</v>
      </c>
      <c r="H27" s="27">
        <f t="shared" si="0"/>
        <v>7.6923076923076987</v>
      </c>
    </row>
    <row r="28" spans="5:8" x14ac:dyDescent="0.2">
      <c r="E28" s="27">
        <v>18</v>
      </c>
      <c r="F28" s="27">
        <f t="shared" si="1"/>
        <v>2.3199999999999998</v>
      </c>
      <c r="G28" s="27">
        <v>18</v>
      </c>
      <c r="H28" s="27">
        <f t="shared" si="0"/>
        <v>7.1428571428571361</v>
      </c>
    </row>
    <row r="29" spans="5:8" x14ac:dyDescent="0.2">
      <c r="E29" s="27">
        <v>19</v>
      </c>
      <c r="F29" s="27">
        <f t="shared" si="1"/>
        <v>2.46</v>
      </c>
      <c r="G29" s="27">
        <v>19</v>
      </c>
      <c r="H29" s="27">
        <f t="shared" si="0"/>
        <v>7.6923076923076987</v>
      </c>
    </row>
    <row r="30" spans="5:8" x14ac:dyDescent="0.2">
      <c r="E30" s="27">
        <v>20</v>
      </c>
      <c r="F30" s="27">
        <f t="shared" si="1"/>
        <v>2.59</v>
      </c>
      <c r="G30" s="27">
        <v>20</v>
      </c>
      <c r="H30" s="27">
        <f t="shared" si="0"/>
        <v>7.1428571428571361</v>
      </c>
    </row>
    <row r="31" spans="5:8" x14ac:dyDescent="0.2">
      <c r="E31" s="27">
        <v>21</v>
      </c>
      <c r="F31" s="27">
        <f t="shared" si="1"/>
        <v>2.73</v>
      </c>
      <c r="G31" s="27">
        <v>21</v>
      </c>
      <c r="H31" s="27">
        <f t="shared" si="0"/>
        <v>7.6923076923076987</v>
      </c>
    </row>
    <row r="32" spans="5:8" x14ac:dyDescent="0.2">
      <c r="E32" s="27">
        <v>22</v>
      </c>
      <c r="F32" s="27">
        <f t="shared" si="1"/>
        <v>2.86</v>
      </c>
      <c r="G32" s="27">
        <v>22</v>
      </c>
      <c r="H32" s="27">
        <f t="shared" si="0"/>
        <v>7.1428571428571361</v>
      </c>
    </row>
    <row r="33" spans="5:8" x14ac:dyDescent="0.2">
      <c r="E33" s="27">
        <v>23</v>
      </c>
      <c r="F33" s="27">
        <f t="shared" si="1"/>
        <v>3</v>
      </c>
      <c r="G33" s="27">
        <v>23</v>
      </c>
      <c r="H33" s="27">
        <f t="shared" si="0"/>
        <v>7.1428571428571361</v>
      </c>
    </row>
    <row r="34" spans="5:8" x14ac:dyDescent="0.2">
      <c r="E34" s="27">
        <v>24</v>
      </c>
      <c r="F34" s="27">
        <f t="shared" si="1"/>
        <v>3.14</v>
      </c>
      <c r="G34" s="27">
        <v>24</v>
      </c>
      <c r="H34" s="27">
        <f t="shared" si="0"/>
        <v>7.6923076923076987</v>
      </c>
    </row>
    <row r="35" spans="5:8" x14ac:dyDescent="0.2">
      <c r="E35" s="27">
        <v>25</v>
      </c>
      <c r="F35" s="27">
        <f t="shared" si="1"/>
        <v>3.27</v>
      </c>
      <c r="G35" s="27">
        <v>25</v>
      </c>
      <c r="H35" s="27">
        <f t="shared" si="0"/>
        <v>7.1428571428571361</v>
      </c>
    </row>
    <row r="36" spans="5:8" x14ac:dyDescent="0.2">
      <c r="E36" s="27">
        <v>26</v>
      </c>
      <c r="F36" s="27">
        <f t="shared" si="1"/>
        <v>3.41</v>
      </c>
      <c r="G36" s="27">
        <v>26</v>
      </c>
      <c r="H36" s="27">
        <f t="shared" si="0"/>
        <v>7.1428571428571592</v>
      </c>
    </row>
    <row r="37" spans="5:8" x14ac:dyDescent="0.2">
      <c r="E37" s="27">
        <v>27</v>
      </c>
      <c r="F37" s="27">
        <f t="shared" si="1"/>
        <v>3.55</v>
      </c>
      <c r="G37" s="27">
        <v>27</v>
      </c>
      <c r="H37" s="27">
        <f t="shared" si="0"/>
        <v>7.1428571428571361</v>
      </c>
    </row>
    <row r="38" spans="5:8" x14ac:dyDescent="0.2">
      <c r="E38" s="27">
        <v>28</v>
      </c>
      <c r="F38" s="27">
        <f t="shared" si="1"/>
        <v>3.69</v>
      </c>
      <c r="G38" s="27">
        <v>28</v>
      </c>
      <c r="H38" s="27">
        <f t="shared" si="0"/>
        <v>7.1428571428571361</v>
      </c>
    </row>
    <row r="39" spans="5:8" x14ac:dyDescent="0.2">
      <c r="E39" s="27">
        <v>29</v>
      </c>
      <c r="F39" s="27">
        <f t="shared" si="1"/>
        <v>3.83</v>
      </c>
      <c r="G39" s="27">
        <v>29</v>
      </c>
      <c r="H39" s="27">
        <f t="shared" si="0"/>
        <v>7.1428571428571361</v>
      </c>
    </row>
    <row r="40" spans="5:8" x14ac:dyDescent="0.2">
      <c r="E40" s="27">
        <v>30</v>
      </c>
      <c r="F40" s="27">
        <f t="shared" si="1"/>
        <v>3.97</v>
      </c>
      <c r="G40" s="27">
        <v>30</v>
      </c>
      <c r="H40" s="27">
        <f t="shared" si="0"/>
        <v>7.1428571428571361</v>
      </c>
    </row>
    <row r="41" spans="5:8" x14ac:dyDescent="0.2">
      <c r="E41" s="27">
        <v>31</v>
      </c>
      <c r="F41" s="27">
        <f t="shared" si="1"/>
        <v>4.1100000000000003</v>
      </c>
      <c r="G41" s="27">
        <v>31</v>
      </c>
      <c r="H41" s="27">
        <f t="shared" si="0"/>
        <v>7.1428571428571592</v>
      </c>
    </row>
    <row r="42" spans="5:8" x14ac:dyDescent="0.2">
      <c r="E42" s="27">
        <v>32</v>
      </c>
      <c r="F42" s="27">
        <f t="shared" si="1"/>
        <v>4.25</v>
      </c>
      <c r="G42" s="27">
        <v>32</v>
      </c>
      <c r="H42" s="27">
        <f t="shared" si="0"/>
        <v>7.1428571428571592</v>
      </c>
    </row>
    <row r="43" spans="5:8" x14ac:dyDescent="0.2">
      <c r="E43" s="27">
        <v>33</v>
      </c>
      <c r="F43" s="27">
        <f t="shared" si="1"/>
        <v>4.3899999999999997</v>
      </c>
      <c r="G43" s="27">
        <v>33</v>
      </c>
      <c r="H43" s="27">
        <f t="shared" si="0"/>
        <v>7.1428571428571139</v>
      </c>
    </row>
    <row r="44" spans="5:8" x14ac:dyDescent="0.2">
      <c r="E44" s="27">
        <v>34</v>
      </c>
      <c r="F44" s="27">
        <f t="shared" si="1"/>
        <v>4.53</v>
      </c>
      <c r="G44" s="27">
        <v>34</v>
      </c>
      <c r="H44" s="27">
        <f t="shared" si="0"/>
        <v>7.1428571428571592</v>
      </c>
    </row>
    <row r="45" spans="5:8" x14ac:dyDescent="0.2">
      <c r="E45" s="27">
        <v>35</v>
      </c>
      <c r="F45" s="27">
        <f t="shared" si="1"/>
        <v>4.67</v>
      </c>
      <c r="G45" s="27">
        <v>35</v>
      </c>
      <c r="H45" s="27">
        <f t="shared" si="0"/>
        <v>6.666666666666651</v>
      </c>
    </row>
    <row r="46" spans="5:8" x14ac:dyDescent="0.2">
      <c r="E46" s="27">
        <v>36</v>
      </c>
      <c r="F46" s="27">
        <f t="shared" si="1"/>
        <v>4.82</v>
      </c>
      <c r="G46" s="27">
        <v>36</v>
      </c>
      <c r="H46" s="27">
        <f t="shared" si="0"/>
        <v>7.1428571428571592</v>
      </c>
    </row>
    <row r="47" spans="5:8" x14ac:dyDescent="0.2">
      <c r="E47" s="27">
        <v>37</v>
      </c>
      <c r="F47" s="27">
        <f t="shared" si="1"/>
        <v>4.96</v>
      </c>
      <c r="G47" s="27">
        <v>37</v>
      </c>
      <c r="H47" s="27">
        <f t="shared" si="0"/>
        <v>7.1428571428571592</v>
      </c>
    </row>
    <row r="48" spans="5:8" x14ac:dyDescent="0.2">
      <c r="E48" s="27">
        <v>38</v>
      </c>
      <c r="F48" s="27">
        <f t="shared" si="1"/>
        <v>5.0999999999999996</v>
      </c>
      <c r="G48" s="27">
        <v>38</v>
      </c>
      <c r="H48" s="27">
        <f t="shared" si="0"/>
        <v>6.666666666666651</v>
      </c>
    </row>
    <row r="49" spans="5:8" x14ac:dyDescent="0.2">
      <c r="E49" s="27">
        <v>39</v>
      </c>
      <c r="F49" s="27">
        <f t="shared" si="1"/>
        <v>5.25</v>
      </c>
      <c r="G49" s="27">
        <v>39</v>
      </c>
      <c r="H49" s="27">
        <f t="shared" si="0"/>
        <v>6.666666666666651</v>
      </c>
    </row>
    <row r="50" spans="5:8" x14ac:dyDescent="0.2">
      <c r="E50" s="27">
        <v>40</v>
      </c>
      <c r="F50" s="27">
        <f t="shared" si="1"/>
        <v>5.4</v>
      </c>
      <c r="G50" s="27">
        <v>40</v>
      </c>
      <c r="H50" s="27">
        <f t="shared" si="0"/>
        <v>7.1428571428571592</v>
      </c>
    </row>
    <row r="51" spans="5:8" x14ac:dyDescent="0.2">
      <c r="E51" s="27">
        <v>41</v>
      </c>
      <c r="F51" s="27">
        <f t="shared" si="1"/>
        <v>5.54</v>
      </c>
      <c r="G51" s="27">
        <v>41</v>
      </c>
      <c r="H51" s="27">
        <f t="shared" si="0"/>
        <v>6.666666666666651</v>
      </c>
    </row>
    <row r="52" spans="5:8" x14ac:dyDescent="0.2">
      <c r="E52" s="27">
        <v>42</v>
      </c>
      <c r="F52" s="27">
        <f t="shared" si="1"/>
        <v>5.69</v>
      </c>
      <c r="G52" s="27">
        <v>42</v>
      </c>
      <c r="H52" s="27">
        <f t="shared" si="0"/>
        <v>6.6666666666666901</v>
      </c>
    </row>
    <row r="53" spans="5:8" x14ac:dyDescent="0.2">
      <c r="E53" s="27">
        <v>43</v>
      </c>
      <c r="F53" s="27">
        <f t="shared" si="1"/>
        <v>5.84</v>
      </c>
      <c r="G53" s="27">
        <v>43</v>
      </c>
      <c r="H53" s="27">
        <f t="shared" si="0"/>
        <v>6.666666666666651</v>
      </c>
    </row>
    <row r="54" spans="5:8" x14ac:dyDescent="0.2">
      <c r="E54" s="27">
        <v>44</v>
      </c>
      <c r="F54" s="27">
        <f t="shared" si="1"/>
        <v>5.99</v>
      </c>
      <c r="G54" s="27">
        <v>44</v>
      </c>
      <c r="H54" s="27">
        <f t="shared" si="0"/>
        <v>7.1428571428571592</v>
      </c>
    </row>
    <row r="55" spans="5:8" x14ac:dyDescent="0.2">
      <c r="E55" s="27">
        <v>45</v>
      </c>
      <c r="F55" s="27">
        <f t="shared" si="1"/>
        <v>6.13</v>
      </c>
      <c r="G55" s="27">
        <v>45</v>
      </c>
      <c r="H55" s="27">
        <f t="shared" si="0"/>
        <v>6.666666666666651</v>
      </c>
    </row>
    <row r="56" spans="5:8" x14ac:dyDescent="0.2">
      <c r="E56" s="27">
        <v>46</v>
      </c>
      <c r="F56" s="27">
        <f t="shared" si="1"/>
        <v>6.28</v>
      </c>
      <c r="G56" s="27">
        <v>46</v>
      </c>
      <c r="H56" s="27">
        <f t="shared" si="0"/>
        <v>6.6666666666666901</v>
      </c>
    </row>
    <row r="57" spans="5:8" x14ac:dyDescent="0.2">
      <c r="E57" s="27">
        <v>47</v>
      </c>
      <c r="F57" s="27">
        <f t="shared" si="1"/>
        <v>6.43</v>
      </c>
      <c r="G57" s="27">
        <v>47</v>
      </c>
      <c r="H57" s="27">
        <f t="shared" si="0"/>
        <v>6.2499999999999947</v>
      </c>
    </row>
    <row r="58" spans="5:8" x14ac:dyDescent="0.2">
      <c r="E58" s="27">
        <v>48</v>
      </c>
      <c r="F58" s="27">
        <f t="shared" si="1"/>
        <v>6.59</v>
      </c>
      <c r="G58" s="27">
        <v>48</v>
      </c>
      <c r="H58" s="27">
        <f t="shared" si="0"/>
        <v>6.666666666666651</v>
      </c>
    </row>
    <row r="59" spans="5:8" x14ac:dyDescent="0.2">
      <c r="E59" s="27">
        <v>49</v>
      </c>
      <c r="F59" s="27">
        <f t="shared" si="1"/>
        <v>6.74</v>
      </c>
      <c r="G59" s="27">
        <v>49</v>
      </c>
      <c r="H59" s="27">
        <f t="shared" si="0"/>
        <v>6.6666666666666901</v>
      </c>
    </row>
    <row r="60" spans="5:8" x14ac:dyDescent="0.2">
      <c r="E60" s="27">
        <v>50</v>
      </c>
      <c r="F60" s="27">
        <f t="shared" si="1"/>
        <v>6.89</v>
      </c>
      <c r="G60" s="27">
        <v>50</v>
      </c>
      <c r="H60" s="27">
        <f t="shared" si="0"/>
        <v>6.666666666666651</v>
      </c>
    </row>
    <row r="61" spans="5:8" x14ac:dyDescent="0.2">
      <c r="E61" s="27">
        <v>51</v>
      </c>
      <c r="F61" s="27">
        <f t="shared" si="1"/>
        <v>7.04</v>
      </c>
      <c r="G61" s="27">
        <v>51</v>
      </c>
      <c r="H61" s="27">
        <f t="shared" si="0"/>
        <v>6.2499999999999947</v>
      </c>
    </row>
    <row r="62" spans="5:8" x14ac:dyDescent="0.2">
      <c r="E62" s="27">
        <v>52</v>
      </c>
      <c r="F62" s="27">
        <f t="shared" si="1"/>
        <v>7.2</v>
      </c>
      <c r="G62" s="27">
        <v>52</v>
      </c>
      <c r="H62" s="27">
        <f t="shared" si="0"/>
        <v>6.6666666666666901</v>
      </c>
    </row>
    <row r="63" spans="5:8" x14ac:dyDescent="0.2">
      <c r="E63" s="27">
        <v>53</v>
      </c>
      <c r="F63" s="27">
        <f t="shared" si="1"/>
        <v>7.35</v>
      </c>
      <c r="G63" s="27">
        <v>53</v>
      </c>
      <c r="H63" s="27">
        <f t="shared" si="0"/>
        <v>6.2499999999999947</v>
      </c>
    </row>
    <row r="64" spans="5:8" x14ac:dyDescent="0.2">
      <c r="E64" s="27">
        <v>54</v>
      </c>
      <c r="F64" s="27">
        <f t="shared" si="1"/>
        <v>7.51</v>
      </c>
      <c r="G64" s="27">
        <v>54</v>
      </c>
      <c r="H64" s="27">
        <f t="shared" si="0"/>
        <v>6.666666666666651</v>
      </c>
    </row>
    <row r="65" spans="5:8" x14ac:dyDescent="0.2">
      <c r="E65" s="27">
        <v>55</v>
      </c>
      <c r="F65" s="27">
        <f t="shared" si="1"/>
        <v>7.66</v>
      </c>
      <c r="G65" s="27">
        <v>55</v>
      </c>
      <c r="H65" s="27">
        <f t="shared" si="0"/>
        <v>6.2499999999999947</v>
      </c>
    </row>
    <row r="66" spans="5:8" x14ac:dyDescent="0.2">
      <c r="E66" s="27">
        <v>56</v>
      </c>
      <c r="F66" s="27">
        <f t="shared" si="1"/>
        <v>7.82</v>
      </c>
      <c r="G66" s="27">
        <v>56</v>
      </c>
      <c r="H66" s="27">
        <f t="shared" si="0"/>
        <v>6.2499999999999947</v>
      </c>
    </row>
    <row r="67" spans="5:8" x14ac:dyDescent="0.2">
      <c r="E67" s="27">
        <v>57</v>
      </c>
      <c r="F67" s="27">
        <f t="shared" si="1"/>
        <v>7.98</v>
      </c>
      <c r="G67" s="27">
        <v>57</v>
      </c>
      <c r="H67" s="27">
        <f t="shared" si="0"/>
        <v>6.2499999999999947</v>
      </c>
    </row>
    <row r="68" spans="5:8" x14ac:dyDescent="0.2">
      <c r="E68" s="27">
        <v>58</v>
      </c>
      <c r="F68" s="27">
        <f t="shared" si="1"/>
        <v>8.14</v>
      </c>
      <c r="G68" s="27">
        <v>58</v>
      </c>
      <c r="H68" s="27">
        <f t="shared" si="0"/>
        <v>6.2499999999999947</v>
      </c>
    </row>
    <row r="69" spans="5:8" x14ac:dyDescent="0.2">
      <c r="E69" s="27">
        <v>59</v>
      </c>
      <c r="F69" s="27">
        <f t="shared" si="1"/>
        <v>8.3000000000000007</v>
      </c>
      <c r="G69" s="27">
        <v>59</v>
      </c>
      <c r="H69" s="27">
        <f t="shared" si="0"/>
        <v>6.2499999999999947</v>
      </c>
    </row>
    <row r="70" spans="5:8" x14ac:dyDescent="0.2">
      <c r="E70" s="27">
        <v>60</v>
      </c>
      <c r="F70" s="27">
        <f t="shared" si="1"/>
        <v>8.4600000000000009</v>
      </c>
      <c r="G70" s="27">
        <v>60</v>
      </c>
      <c r="H70" s="27">
        <f t="shared" si="0"/>
        <v>6.2500000000000639</v>
      </c>
    </row>
    <row r="71" spans="5:8" x14ac:dyDescent="0.2">
      <c r="E71" s="27">
        <v>61</v>
      </c>
      <c r="F71" s="27">
        <f t="shared" si="1"/>
        <v>8.6199999999999992</v>
      </c>
      <c r="G71" s="27">
        <v>61</v>
      </c>
      <c r="H71" s="27">
        <f t="shared" si="0"/>
        <v>6.2499999999999947</v>
      </c>
    </row>
    <row r="72" spans="5:8" x14ac:dyDescent="0.2">
      <c r="E72" s="27">
        <v>62</v>
      </c>
      <c r="F72" s="27">
        <f t="shared" si="1"/>
        <v>8.7799999999999994</v>
      </c>
      <c r="G72" s="27">
        <v>62</v>
      </c>
      <c r="H72" s="27">
        <f t="shared" si="0"/>
        <v>6.2499999999999947</v>
      </c>
    </row>
    <row r="73" spans="5:8" x14ac:dyDescent="0.2">
      <c r="E73" s="27">
        <v>63</v>
      </c>
      <c r="F73" s="27">
        <f t="shared" si="1"/>
        <v>8.94</v>
      </c>
      <c r="G73" s="27">
        <v>63</v>
      </c>
      <c r="H73" s="27">
        <f t="shared" si="0"/>
        <v>6.2499999999999947</v>
      </c>
    </row>
    <row r="74" spans="5:8" x14ac:dyDescent="0.2">
      <c r="E74" s="27">
        <v>64</v>
      </c>
      <c r="F74" s="27">
        <f t="shared" si="1"/>
        <v>9.1</v>
      </c>
      <c r="G74" s="27">
        <v>64</v>
      </c>
      <c r="H74" s="27">
        <f t="shared" si="0"/>
        <v>5.8823529411764728</v>
      </c>
    </row>
    <row r="75" spans="5:8" x14ac:dyDescent="0.2">
      <c r="E75" s="27">
        <v>65</v>
      </c>
      <c r="F75" s="27">
        <f t="shared" si="1"/>
        <v>9.27</v>
      </c>
      <c r="G75" s="27">
        <v>65</v>
      </c>
      <c r="H75" s="27">
        <f t="shared" ref="H75:H138" si="2">1/(F76-F75)</f>
        <v>6.2499999999999947</v>
      </c>
    </row>
    <row r="76" spans="5:8" x14ac:dyDescent="0.2">
      <c r="E76" s="27">
        <v>66</v>
      </c>
      <c r="F76" s="27">
        <f t="shared" ref="F76:F139" si="3">ROUND(-$H$4*(1-E76/$H$4)^($H$7)/$H$7/$H$5-$F$7,2)</f>
        <v>9.43</v>
      </c>
      <c r="G76" s="27">
        <v>66</v>
      </c>
      <c r="H76" s="27">
        <f t="shared" si="2"/>
        <v>5.8823529411764728</v>
      </c>
    </row>
    <row r="77" spans="5:8" x14ac:dyDescent="0.2">
      <c r="E77" s="27">
        <v>67</v>
      </c>
      <c r="F77" s="27">
        <f t="shared" si="3"/>
        <v>9.6</v>
      </c>
      <c r="G77" s="27">
        <v>67</v>
      </c>
      <c r="H77" s="27">
        <f t="shared" si="2"/>
        <v>5.8823529411764728</v>
      </c>
    </row>
    <row r="78" spans="5:8" x14ac:dyDescent="0.2">
      <c r="E78" s="27">
        <v>68</v>
      </c>
      <c r="F78" s="27">
        <f t="shared" si="3"/>
        <v>9.77</v>
      </c>
      <c r="G78" s="27">
        <v>68</v>
      </c>
      <c r="H78" s="27">
        <f t="shared" si="2"/>
        <v>6.2499999999999947</v>
      </c>
    </row>
    <row r="79" spans="5:8" x14ac:dyDescent="0.2">
      <c r="E79" s="27">
        <v>69</v>
      </c>
      <c r="F79" s="27">
        <f t="shared" si="3"/>
        <v>9.93</v>
      </c>
      <c r="G79" s="27">
        <v>69</v>
      </c>
      <c r="H79" s="27">
        <f t="shared" si="2"/>
        <v>5.8823529411764728</v>
      </c>
    </row>
    <row r="80" spans="5:8" x14ac:dyDescent="0.2">
      <c r="E80" s="27">
        <v>70</v>
      </c>
      <c r="F80" s="27">
        <f t="shared" si="3"/>
        <v>10.1</v>
      </c>
      <c r="G80" s="27">
        <v>70</v>
      </c>
      <c r="H80" s="27">
        <f t="shared" si="2"/>
        <v>5.8823529411764728</v>
      </c>
    </row>
    <row r="81" spans="5:8" x14ac:dyDescent="0.2">
      <c r="E81" s="27">
        <v>71</v>
      </c>
      <c r="F81" s="27">
        <f t="shared" si="3"/>
        <v>10.27</v>
      </c>
      <c r="G81" s="27">
        <v>71</v>
      </c>
      <c r="H81" s="27">
        <f t="shared" si="2"/>
        <v>5.8823529411764728</v>
      </c>
    </row>
    <row r="82" spans="5:8" x14ac:dyDescent="0.2">
      <c r="E82" s="27">
        <v>72</v>
      </c>
      <c r="F82" s="27">
        <f t="shared" si="3"/>
        <v>10.44</v>
      </c>
      <c r="G82" s="27">
        <v>72</v>
      </c>
      <c r="H82" s="27">
        <f t="shared" si="2"/>
        <v>5.8823529411764728</v>
      </c>
    </row>
    <row r="83" spans="5:8" x14ac:dyDescent="0.2">
      <c r="E83" s="27">
        <v>73</v>
      </c>
      <c r="F83" s="27">
        <f t="shared" si="3"/>
        <v>10.61</v>
      </c>
      <c r="G83" s="27">
        <v>73</v>
      </c>
      <c r="H83" s="27">
        <f t="shared" si="2"/>
        <v>5.5555555555555642</v>
      </c>
    </row>
    <row r="84" spans="5:8" x14ac:dyDescent="0.2">
      <c r="E84" s="27">
        <v>74</v>
      </c>
      <c r="F84" s="27">
        <f t="shared" si="3"/>
        <v>10.79</v>
      </c>
      <c r="G84" s="27">
        <v>74</v>
      </c>
      <c r="H84" s="27">
        <f t="shared" si="2"/>
        <v>5.8823529411764115</v>
      </c>
    </row>
    <row r="85" spans="5:8" x14ac:dyDescent="0.2">
      <c r="E85" s="27">
        <v>75</v>
      </c>
      <c r="F85" s="27">
        <f t="shared" si="3"/>
        <v>10.96</v>
      </c>
      <c r="G85" s="27">
        <v>75</v>
      </c>
      <c r="H85" s="27">
        <f t="shared" si="2"/>
        <v>5.8823529411764728</v>
      </c>
    </row>
    <row r="86" spans="5:8" x14ac:dyDescent="0.2">
      <c r="E86" s="27">
        <v>76</v>
      </c>
      <c r="F86" s="27">
        <f t="shared" si="3"/>
        <v>11.13</v>
      </c>
      <c r="G86" s="27">
        <v>76</v>
      </c>
      <c r="H86" s="27">
        <f t="shared" si="2"/>
        <v>5.5555555555555642</v>
      </c>
    </row>
    <row r="87" spans="5:8" x14ac:dyDescent="0.2">
      <c r="E87" s="27">
        <v>77</v>
      </c>
      <c r="F87" s="27">
        <f t="shared" si="3"/>
        <v>11.31</v>
      </c>
      <c r="G87" s="27">
        <v>77</v>
      </c>
      <c r="H87" s="27">
        <f t="shared" si="2"/>
        <v>5.8823529411764728</v>
      </c>
    </row>
    <row r="88" spans="5:8" x14ac:dyDescent="0.2">
      <c r="E88" s="27">
        <v>78</v>
      </c>
      <c r="F88" s="27">
        <f t="shared" si="3"/>
        <v>11.48</v>
      </c>
      <c r="G88" s="27">
        <v>78</v>
      </c>
      <c r="H88" s="27">
        <f t="shared" si="2"/>
        <v>5.5555555555555642</v>
      </c>
    </row>
    <row r="89" spans="5:8" x14ac:dyDescent="0.2">
      <c r="E89" s="27">
        <v>79</v>
      </c>
      <c r="F89" s="27">
        <f t="shared" si="3"/>
        <v>11.66</v>
      </c>
      <c r="G89" s="27">
        <v>79</v>
      </c>
      <c r="H89" s="27">
        <f t="shared" si="2"/>
        <v>5.5555555555555642</v>
      </c>
    </row>
    <row r="90" spans="5:8" x14ac:dyDescent="0.2">
      <c r="E90" s="27">
        <v>80</v>
      </c>
      <c r="F90" s="27">
        <f t="shared" si="3"/>
        <v>11.84</v>
      </c>
      <c r="G90" s="27">
        <v>80</v>
      </c>
      <c r="H90" s="27">
        <f t="shared" si="2"/>
        <v>5.5555555555555642</v>
      </c>
    </row>
    <row r="91" spans="5:8" x14ac:dyDescent="0.2">
      <c r="E91" s="27">
        <v>81</v>
      </c>
      <c r="F91" s="27">
        <f t="shared" si="3"/>
        <v>12.02</v>
      </c>
      <c r="G91" s="27">
        <v>81</v>
      </c>
      <c r="H91" s="27">
        <f t="shared" si="2"/>
        <v>5.5555555555555642</v>
      </c>
    </row>
    <row r="92" spans="5:8" x14ac:dyDescent="0.2">
      <c r="E92" s="27">
        <v>82</v>
      </c>
      <c r="F92" s="27">
        <f t="shared" si="3"/>
        <v>12.2</v>
      </c>
      <c r="G92" s="27">
        <v>82</v>
      </c>
      <c r="H92" s="27">
        <f t="shared" si="2"/>
        <v>5.5555555555555092</v>
      </c>
    </row>
    <row r="93" spans="5:8" x14ac:dyDescent="0.2">
      <c r="E93" s="27">
        <v>83</v>
      </c>
      <c r="F93" s="27">
        <f t="shared" si="3"/>
        <v>12.38</v>
      </c>
      <c r="G93" s="27">
        <v>83</v>
      </c>
      <c r="H93" s="27">
        <f t="shared" si="2"/>
        <v>5.5555555555555642</v>
      </c>
    </row>
    <row r="94" spans="5:8" x14ac:dyDescent="0.2">
      <c r="E94" s="27">
        <v>84</v>
      </c>
      <c r="F94" s="27">
        <f t="shared" si="3"/>
        <v>12.56</v>
      </c>
      <c r="G94" s="27">
        <v>84</v>
      </c>
      <c r="H94" s="27">
        <f t="shared" si="2"/>
        <v>5.2631578947368558</v>
      </c>
    </row>
    <row r="95" spans="5:8" x14ac:dyDescent="0.2">
      <c r="E95" s="27">
        <v>85</v>
      </c>
      <c r="F95" s="27">
        <f t="shared" si="3"/>
        <v>12.75</v>
      </c>
      <c r="G95" s="27">
        <v>85</v>
      </c>
      <c r="H95" s="27">
        <f t="shared" si="2"/>
        <v>5.5555555555555642</v>
      </c>
    </row>
    <row r="96" spans="5:8" x14ac:dyDescent="0.2">
      <c r="E96" s="27">
        <v>86</v>
      </c>
      <c r="F96" s="27">
        <f t="shared" si="3"/>
        <v>12.93</v>
      </c>
      <c r="G96" s="27">
        <v>86</v>
      </c>
      <c r="H96" s="27">
        <f t="shared" si="2"/>
        <v>5.2631578947368558</v>
      </c>
    </row>
    <row r="97" spans="5:8" x14ac:dyDescent="0.2">
      <c r="E97" s="27">
        <v>87</v>
      </c>
      <c r="F97" s="27">
        <f t="shared" si="3"/>
        <v>13.12</v>
      </c>
      <c r="G97" s="27">
        <v>87</v>
      </c>
      <c r="H97" s="27">
        <f t="shared" si="2"/>
        <v>5.5555555555555092</v>
      </c>
    </row>
    <row r="98" spans="5:8" x14ac:dyDescent="0.2">
      <c r="E98" s="27">
        <v>88</v>
      </c>
      <c r="F98" s="27">
        <f t="shared" si="3"/>
        <v>13.3</v>
      </c>
      <c r="G98" s="27">
        <v>88</v>
      </c>
      <c r="H98" s="27">
        <f t="shared" si="2"/>
        <v>5.2631578947368558</v>
      </c>
    </row>
    <row r="99" spans="5:8" x14ac:dyDescent="0.2">
      <c r="E99" s="27">
        <v>89</v>
      </c>
      <c r="F99" s="27">
        <f t="shared" si="3"/>
        <v>13.49</v>
      </c>
      <c r="G99" s="27">
        <v>89</v>
      </c>
      <c r="H99" s="27">
        <f t="shared" si="2"/>
        <v>5.2631578947368558</v>
      </c>
    </row>
    <row r="100" spans="5:8" x14ac:dyDescent="0.2">
      <c r="E100" s="27">
        <v>90</v>
      </c>
      <c r="F100" s="27">
        <f t="shared" si="3"/>
        <v>13.68</v>
      </c>
      <c r="G100" s="27">
        <v>90</v>
      </c>
      <c r="H100" s="27">
        <f t="shared" si="2"/>
        <v>5.2631578947368558</v>
      </c>
    </row>
    <row r="101" spans="5:8" x14ac:dyDescent="0.2">
      <c r="E101" s="27">
        <v>91</v>
      </c>
      <c r="F101" s="27">
        <f t="shared" si="3"/>
        <v>13.87</v>
      </c>
      <c r="G101" s="27">
        <v>91</v>
      </c>
      <c r="H101" s="27">
        <f t="shared" si="2"/>
        <v>5.263157894736807</v>
      </c>
    </row>
    <row r="102" spans="5:8" x14ac:dyDescent="0.2">
      <c r="E102" s="27">
        <v>92</v>
      </c>
      <c r="F102" s="27">
        <f t="shared" si="3"/>
        <v>14.06</v>
      </c>
      <c r="G102" s="27">
        <v>92</v>
      </c>
      <c r="H102" s="27">
        <f t="shared" si="2"/>
        <v>5.0000000000000178</v>
      </c>
    </row>
    <row r="103" spans="5:8" x14ac:dyDescent="0.2">
      <c r="E103" s="27">
        <v>93</v>
      </c>
      <c r="F103" s="27">
        <f t="shared" si="3"/>
        <v>14.26</v>
      </c>
      <c r="G103" s="27">
        <v>93</v>
      </c>
      <c r="H103" s="27">
        <f t="shared" si="2"/>
        <v>5.2631578947368558</v>
      </c>
    </row>
    <row r="104" spans="5:8" x14ac:dyDescent="0.2">
      <c r="E104" s="27">
        <v>94</v>
      </c>
      <c r="F104" s="27">
        <f t="shared" si="3"/>
        <v>14.45</v>
      </c>
      <c r="G104" s="27">
        <v>94</v>
      </c>
      <c r="H104" s="27">
        <f t="shared" si="2"/>
        <v>4.9999999999999734</v>
      </c>
    </row>
    <row r="105" spans="5:8" x14ac:dyDescent="0.2">
      <c r="E105" s="27">
        <v>95</v>
      </c>
      <c r="F105" s="27">
        <f t="shared" si="3"/>
        <v>14.65</v>
      </c>
      <c r="G105" s="27">
        <v>95</v>
      </c>
      <c r="H105" s="27">
        <f t="shared" si="2"/>
        <v>5.2631578947368558</v>
      </c>
    </row>
    <row r="106" spans="5:8" x14ac:dyDescent="0.2">
      <c r="E106" s="27">
        <v>96</v>
      </c>
      <c r="F106" s="27">
        <f t="shared" si="3"/>
        <v>14.84</v>
      </c>
      <c r="G106" s="27">
        <v>96</v>
      </c>
      <c r="H106" s="27">
        <f t="shared" si="2"/>
        <v>5.0000000000000178</v>
      </c>
    </row>
    <row r="107" spans="5:8" x14ac:dyDescent="0.2">
      <c r="E107" s="27">
        <v>97</v>
      </c>
      <c r="F107" s="27">
        <f t="shared" si="3"/>
        <v>15.04</v>
      </c>
      <c r="G107" s="27">
        <v>97</v>
      </c>
      <c r="H107" s="27">
        <f t="shared" si="2"/>
        <v>4.9999999999999734</v>
      </c>
    </row>
    <row r="108" spans="5:8" x14ac:dyDescent="0.2">
      <c r="E108" s="27">
        <v>98</v>
      </c>
      <c r="F108" s="27">
        <f t="shared" si="3"/>
        <v>15.24</v>
      </c>
      <c r="G108" s="27">
        <v>98</v>
      </c>
      <c r="H108" s="27">
        <f t="shared" si="2"/>
        <v>5.0000000000000178</v>
      </c>
    </row>
    <row r="109" spans="5:8" x14ac:dyDescent="0.2">
      <c r="E109" s="27">
        <v>99</v>
      </c>
      <c r="F109" s="27">
        <f t="shared" si="3"/>
        <v>15.44</v>
      </c>
      <c r="G109" s="27">
        <v>99</v>
      </c>
      <c r="H109" s="27">
        <f t="shared" si="2"/>
        <v>4.7619047619047423</v>
      </c>
    </row>
    <row r="110" spans="5:8" x14ac:dyDescent="0.2">
      <c r="E110" s="27">
        <v>100</v>
      </c>
      <c r="F110" s="27">
        <f t="shared" si="3"/>
        <v>15.65</v>
      </c>
      <c r="G110" s="27">
        <v>100</v>
      </c>
      <c r="H110" s="27">
        <f t="shared" si="2"/>
        <v>5.0000000000000178</v>
      </c>
    </row>
    <row r="111" spans="5:8" x14ac:dyDescent="0.2">
      <c r="E111" s="27">
        <v>101</v>
      </c>
      <c r="F111" s="27">
        <f t="shared" si="3"/>
        <v>15.85</v>
      </c>
      <c r="G111" s="27">
        <v>101</v>
      </c>
      <c r="H111" s="27">
        <f t="shared" si="2"/>
        <v>4.9999999999999734</v>
      </c>
    </row>
    <row r="112" spans="5:8" x14ac:dyDescent="0.2">
      <c r="E112" s="27">
        <v>102</v>
      </c>
      <c r="F112" s="27">
        <f t="shared" si="3"/>
        <v>16.05</v>
      </c>
      <c r="G112" s="27">
        <v>102</v>
      </c>
      <c r="H112" s="27">
        <f t="shared" si="2"/>
        <v>4.7619047619047423</v>
      </c>
    </row>
    <row r="113" spans="5:8" x14ac:dyDescent="0.2">
      <c r="E113" s="27">
        <v>103</v>
      </c>
      <c r="F113" s="27">
        <f t="shared" si="3"/>
        <v>16.260000000000002</v>
      </c>
      <c r="G113" s="27">
        <v>103</v>
      </c>
      <c r="H113" s="27">
        <f t="shared" si="2"/>
        <v>4.7619047619048231</v>
      </c>
    </row>
    <row r="114" spans="5:8" x14ac:dyDescent="0.2">
      <c r="E114" s="27">
        <v>104</v>
      </c>
      <c r="F114" s="27">
        <f t="shared" si="3"/>
        <v>16.47</v>
      </c>
      <c r="G114" s="27">
        <v>104</v>
      </c>
      <c r="H114" s="27">
        <f t="shared" si="2"/>
        <v>4.7619047619047423</v>
      </c>
    </row>
    <row r="115" spans="5:8" x14ac:dyDescent="0.2">
      <c r="E115" s="27">
        <v>105</v>
      </c>
      <c r="F115" s="27">
        <f t="shared" si="3"/>
        <v>16.68</v>
      </c>
      <c r="G115" s="27">
        <v>105</v>
      </c>
      <c r="H115" s="27">
        <f t="shared" si="2"/>
        <v>4.7619047619047423</v>
      </c>
    </row>
    <row r="116" spans="5:8" x14ac:dyDescent="0.2">
      <c r="E116" s="27">
        <v>106</v>
      </c>
      <c r="F116" s="27">
        <f t="shared" si="3"/>
        <v>16.89</v>
      </c>
      <c r="G116" s="27">
        <v>106</v>
      </c>
      <c r="H116" s="27">
        <f t="shared" si="2"/>
        <v>4.7619047619047423</v>
      </c>
    </row>
    <row r="117" spans="5:8" x14ac:dyDescent="0.2">
      <c r="E117" s="27">
        <v>107</v>
      </c>
      <c r="F117" s="27">
        <f t="shared" si="3"/>
        <v>17.100000000000001</v>
      </c>
      <c r="G117" s="27">
        <v>107</v>
      </c>
      <c r="H117" s="27">
        <f t="shared" si="2"/>
        <v>4.545454545454569</v>
      </c>
    </row>
    <row r="118" spans="5:8" x14ac:dyDescent="0.2">
      <c r="E118" s="27">
        <v>108</v>
      </c>
      <c r="F118" s="27">
        <f t="shared" si="3"/>
        <v>17.32</v>
      </c>
      <c r="G118" s="27">
        <v>108</v>
      </c>
      <c r="H118" s="27">
        <f t="shared" si="2"/>
        <v>4.7619047619047423</v>
      </c>
    </row>
    <row r="119" spans="5:8" x14ac:dyDescent="0.2">
      <c r="E119" s="27">
        <v>109</v>
      </c>
      <c r="F119" s="27">
        <f t="shared" si="3"/>
        <v>17.53</v>
      </c>
      <c r="G119" s="27">
        <v>109</v>
      </c>
      <c r="H119" s="27">
        <f t="shared" si="2"/>
        <v>4.545454545454569</v>
      </c>
    </row>
    <row r="120" spans="5:8" x14ac:dyDescent="0.2">
      <c r="E120" s="27">
        <v>110</v>
      </c>
      <c r="F120" s="27">
        <f t="shared" si="3"/>
        <v>17.75</v>
      </c>
      <c r="G120" s="27">
        <v>110</v>
      </c>
      <c r="H120" s="27">
        <f t="shared" si="2"/>
        <v>4.545454545454569</v>
      </c>
    </row>
    <row r="121" spans="5:8" x14ac:dyDescent="0.2">
      <c r="E121" s="27">
        <v>111</v>
      </c>
      <c r="F121" s="27">
        <f t="shared" si="3"/>
        <v>17.97</v>
      </c>
      <c r="G121" s="27">
        <v>111</v>
      </c>
      <c r="H121" s="27">
        <f t="shared" si="2"/>
        <v>4.5454545454544952</v>
      </c>
    </row>
    <row r="122" spans="5:8" x14ac:dyDescent="0.2">
      <c r="E122" s="27">
        <v>112</v>
      </c>
      <c r="F122" s="27">
        <f t="shared" si="3"/>
        <v>18.190000000000001</v>
      </c>
      <c r="G122" s="27">
        <v>112</v>
      </c>
      <c r="H122" s="27">
        <f t="shared" si="2"/>
        <v>4.3478260869565135</v>
      </c>
    </row>
    <row r="123" spans="5:8" x14ac:dyDescent="0.2">
      <c r="E123" s="27">
        <v>113</v>
      </c>
      <c r="F123" s="27">
        <f t="shared" si="3"/>
        <v>18.420000000000002</v>
      </c>
      <c r="G123" s="27">
        <v>113</v>
      </c>
      <c r="H123" s="27">
        <f t="shared" si="2"/>
        <v>4.545454545454569</v>
      </c>
    </row>
    <row r="124" spans="5:8" x14ac:dyDescent="0.2">
      <c r="E124" s="27">
        <v>114</v>
      </c>
      <c r="F124" s="27">
        <f t="shared" si="3"/>
        <v>18.64</v>
      </c>
      <c r="G124" s="27">
        <v>114</v>
      </c>
      <c r="H124" s="27">
        <f t="shared" si="2"/>
        <v>4.3478260869565135</v>
      </c>
    </row>
    <row r="125" spans="5:8" x14ac:dyDescent="0.2">
      <c r="E125" s="27">
        <v>115</v>
      </c>
      <c r="F125" s="27">
        <f t="shared" si="3"/>
        <v>18.87</v>
      </c>
      <c r="G125" s="27">
        <v>115</v>
      </c>
      <c r="H125" s="27">
        <f t="shared" si="2"/>
        <v>4.3478260869565135</v>
      </c>
    </row>
    <row r="126" spans="5:8" x14ac:dyDescent="0.2">
      <c r="E126" s="27">
        <v>116</v>
      </c>
      <c r="F126" s="27">
        <f t="shared" si="3"/>
        <v>19.100000000000001</v>
      </c>
      <c r="G126" s="27">
        <v>116</v>
      </c>
      <c r="H126" s="27">
        <f t="shared" si="2"/>
        <v>4.347826086956581</v>
      </c>
    </row>
    <row r="127" spans="5:8" x14ac:dyDescent="0.2">
      <c r="E127" s="27">
        <v>117</v>
      </c>
      <c r="F127" s="27">
        <f t="shared" si="3"/>
        <v>19.329999999999998</v>
      </c>
      <c r="G127" s="27">
        <v>117</v>
      </c>
      <c r="H127" s="27">
        <f t="shared" si="2"/>
        <v>4.3478260869565135</v>
      </c>
    </row>
    <row r="128" spans="5:8" x14ac:dyDescent="0.2">
      <c r="E128" s="27">
        <v>118</v>
      </c>
      <c r="F128" s="27">
        <f t="shared" si="3"/>
        <v>19.559999999999999</v>
      </c>
      <c r="G128" s="27">
        <v>118</v>
      </c>
      <c r="H128" s="27">
        <f t="shared" si="2"/>
        <v>4.3478260869565135</v>
      </c>
    </row>
    <row r="129" spans="5:8" x14ac:dyDescent="0.2">
      <c r="E129" s="27">
        <v>119</v>
      </c>
      <c r="F129" s="27">
        <f t="shared" si="3"/>
        <v>19.79</v>
      </c>
      <c r="G129" s="27">
        <v>119</v>
      </c>
      <c r="H129" s="27">
        <f t="shared" si="2"/>
        <v>4.1666666666666323</v>
      </c>
    </row>
    <row r="130" spans="5:8" x14ac:dyDescent="0.2">
      <c r="E130" s="27">
        <v>120</v>
      </c>
      <c r="F130" s="27">
        <f t="shared" si="3"/>
        <v>20.03</v>
      </c>
      <c r="G130" s="27">
        <v>120</v>
      </c>
      <c r="H130" s="27">
        <f t="shared" si="2"/>
        <v>4.1666666666666936</v>
      </c>
    </row>
    <row r="131" spans="5:8" x14ac:dyDescent="0.2">
      <c r="E131" s="27">
        <v>121</v>
      </c>
      <c r="F131" s="27">
        <f t="shared" si="3"/>
        <v>20.27</v>
      </c>
      <c r="G131" s="27">
        <v>121</v>
      </c>
      <c r="H131" s="27">
        <f t="shared" si="2"/>
        <v>4.1666666666666323</v>
      </c>
    </row>
    <row r="132" spans="5:8" x14ac:dyDescent="0.2">
      <c r="E132" s="27">
        <v>122</v>
      </c>
      <c r="F132" s="27">
        <f t="shared" si="3"/>
        <v>20.51</v>
      </c>
      <c r="G132" s="27">
        <v>122</v>
      </c>
      <c r="H132" s="27">
        <f t="shared" si="2"/>
        <v>4.1666666666666936</v>
      </c>
    </row>
    <row r="133" spans="5:8" x14ac:dyDescent="0.2">
      <c r="E133" s="27">
        <v>123</v>
      </c>
      <c r="F133" s="27">
        <f t="shared" si="3"/>
        <v>20.75</v>
      </c>
      <c r="G133" s="27">
        <v>123</v>
      </c>
      <c r="H133" s="27">
        <f t="shared" si="2"/>
        <v>4</v>
      </c>
    </row>
    <row r="134" spans="5:8" x14ac:dyDescent="0.2">
      <c r="E134" s="27">
        <v>124</v>
      </c>
      <c r="F134" s="27">
        <f t="shared" si="3"/>
        <v>21</v>
      </c>
      <c r="G134" s="27">
        <v>124</v>
      </c>
      <c r="H134" s="27">
        <f t="shared" si="2"/>
        <v>4.1666666666666936</v>
      </c>
    </row>
    <row r="135" spans="5:8" x14ac:dyDescent="0.2">
      <c r="E135" s="27">
        <v>125</v>
      </c>
      <c r="F135" s="27">
        <f t="shared" si="3"/>
        <v>21.24</v>
      </c>
      <c r="G135" s="27">
        <v>125</v>
      </c>
      <c r="H135" s="27">
        <f t="shared" si="2"/>
        <v>4</v>
      </c>
    </row>
    <row r="136" spans="5:8" x14ac:dyDescent="0.2">
      <c r="E136" s="27">
        <v>126</v>
      </c>
      <c r="F136" s="27">
        <f t="shared" si="3"/>
        <v>21.49</v>
      </c>
      <c r="G136" s="27">
        <v>126</v>
      </c>
      <c r="H136" s="27">
        <f t="shared" si="2"/>
        <v>4</v>
      </c>
    </row>
    <row r="137" spans="5:8" x14ac:dyDescent="0.2">
      <c r="E137" s="27">
        <v>127</v>
      </c>
      <c r="F137" s="27">
        <f t="shared" si="3"/>
        <v>21.74</v>
      </c>
      <c r="G137" s="27">
        <v>127</v>
      </c>
      <c r="H137" s="27">
        <f t="shared" si="2"/>
        <v>3.8461538461538232</v>
      </c>
    </row>
    <row r="138" spans="5:8" x14ac:dyDescent="0.2">
      <c r="E138" s="27">
        <v>128</v>
      </c>
      <c r="F138" s="27">
        <f t="shared" si="3"/>
        <v>22</v>
      </c>
      <c r="G138" s="27">
        <v>128</v>
      </c>
      <c r="H138" s="27">
        <f t="shared" si="2"/>
        <v>4</v>
      </c>
    </row>
    <row r="139" spans="5:8" x14ac:dyDescent="0.2">
      <c r="E139" s="27">
        <v>129</v>
      </c>
      <c r="F139" s="27">
        <f t="shared" si="3"/>
        <v>22.25</v>
      </c>
      <c r="G139" s="27">
        <v>129</v>
      </c>
      <c r="H139" s="27">
        <f t="shared" ref="H139:H202" si="4">1/(F140-F139)</f>
        <v>3.8461538461538232</v>
      </c>
    </row>
    <row r="140" spans="5:8" x14ac:dyDescent="0.2">
      <c r="E140" s="27">
        <v>130</v>
      </c>
      <c r="F140" s="27">
        <f t="shared" ref="F140:F203" si="5">ROUND(-$H$4*(1-E140/$H$4)^($H$7)/$H$7/$H$5-$F$7,2)</f>
        <v>22.51</v>
      </c>
      <c r="G140" s="27">
        <v>130</v>
      </c>
      <c r="H140" s="27">
        <f t="shared" si="4"/>
        <v>3.7037037037037095</v>
      </c>
    </row>
    <row r="141" spans="5:8" x14ac:dyDescent="0.2">
      <c r="E141" s="27">
        <v>131</v>
      </c>
      <c r="F141" s="27">
        <f t="shared" si="5"/>
        <v>22.78</v>
      </c>
      <c r="G141" s="27">
        <v>131</v>
      </c>
      <c r="H141" s="27">
        <f t="shared" si="4"/>
        <v>3.8461538461538756</v>
      </c>
    </row>
    <row r="142" spans="5:8" x14ac:dyDescent="0.2">
      <c r="E142" s="27">
        <v>132</v>
      </c>
      <c r="F142" s="27">
        <f t="shared" si="5"/>
        <v>23.04</v>
      </c>
      <c r="G142" s="27">
        <v>132</v>
      </c>
      <c r="H142" s="27">
        <f t="shared" si="4"/>
        <v>3.7037037037037095</v>
      </c>
    </row>
    <row r="143" spans="5:8" x14ac:dyDescent="0.2">
      <c r="E143" s="27">
        <v>133</v>
      </c>
      <c r="F143" s="27">
        <f t="shared" si="5"/>
        <v>23.31</v>
      </c>
      <c r="G143" s="27">
        <v>133</v>
      </c>
      <c r="H143" s="27">
        <f t="shared" si="4"/>
        <v>3.7037037037037095</v>
      </c>
    </row>
    <row r="144" spans="5:8" x14ac:dyDescent="0.2">
      <c r="E144" s="27">
        <v>134</v>
      </c>
      <c r="F144" s="27">
        <f t="shared" si="5"/>
        <v>23.58</v>
      </c>
      <c r="G144" s="27">
        <v>134</v>
      </c>
      <c r="H144" s="27">
        <f t="shared" si="4"/>
        <v>3.7037037037036606</v>
      </c>
    </row>
    <row r="145" spans="5:8" x14ac:dyDescent="0.2">
      <c r="E145" s="27">
        <v>135</v>
      </c>
      <c r="F145" s="27">
        <f t="shared" si="5"/>
        <v>23.85</v>
      </c>
      <c r="G145" s="27">
        <v>135</v>
      </c>
      <c r="H145" s="27">
        <f t="shared" si="4"/>
        <v>3.5714285714286023</v>
      </c>
    </row>
    <row r="146" spans="5:8" x14ac:dyDescent="0.2">
      <c r="E146" s="27">
        <v>136</v>
      </c>
      <c r="F146" s="27">
        <f t="shared" si="5"/>
        <v>24.13</v>
      </c>
      <c r="G146" s="27">
        <v>136</v>
      </c>
      <c r="H146" s="27">
        <f t="shared" si="4"/>
        <v>3.571428571428557</v>
      </c>
    </row>
    <row r="147" spans="5:8" x14ac:dyDescent="0.2">
      <c r="E147" s="27">
        <v>137</v>
      </c>
      <c r="F147" s="27">
        <f t="shared" si="5"/>
        <v>24.41</v>
      </c>
      <c r="G147" s="27">
        <v>137</v>
      </c>
      <c r="H147" s="27">
        <f t="shared" si="4"/>
        <v>3.571428571428557</v>
      </c>
    </row>
    <row r="148" spans="5:8" x14ac:dyDescent="0.2">
      <c r="E148" s="27">
        <v>138</v>
      </c>
      <c r="F148" s="27">
        <f t="shared" si="5"/>
        <v>24.69</v>
      </c>
      <c r="G148" s="27">
        <v>138</v>
      </c>
      <c r="H148" s="27">
        <f t="shared" si="4"/>
        <v>3.5714285714286023</v>
      </c>
    </row>
    <row r="149" spans="5:8" x14ac:dyDescent="0.2">
      <c r="E149" s="27">
        <v>139</v>
      </c>
      <c r="F149" s="27">
        <f t="shared" si="5"/>
        <v>24.97</v>
      </c>
      <c r="G149" s="27">
        <v>139</v>
      </c>
      <c r="H149" s="27">
        <f t="shared" si="4"/>
        <v>3.4482758620689333</v>
      </c>
    </row>
    <row r="150" spans="5:8" x14ac:dyDescent="0.2">
      <c r="E150" s="27">
        <v>140</v>
      </c>
      <c r="F150" s="27">
        <f t="shared" si="5"/>
        <v>25.26</v>
      </c>
      <c r="G150" s="27">
        <v>140</v>
      </c>
      <c r="H150" s="27">
        <f t="shared" si="4"/>
        <v>3.4482758620689755</v>
      </c>
    </row>
    <row r="151" spans="5:8" x14ac:dyDescent="0.2">
      <c r="E151" s="27">
        <v>141</v>
      </c>
      <c r="F151" s="27">
        <f t="shared" si="5"/>
        <v>25.55</v>
      </c>
      <c r="G151" s="27">
        <v>141</v>
      </c>
      <c r="H151" s="27">
        <f t="shared" si="4"/>
        <v>3.3333333333333255</v>
      </c>
    </row>
    <row r="152" spans="5:8" x14ac:dyDescent="0.2">
      <c r="E152" s="27">
        <v>142</v>
      </c>
      <c r="F152" s="27">
        <f t="shared" si="5"/>
        <v>25.85</v>
      </c>
      <c r="G152" s="27">
        <v>142</v>
      </c>
      <c r="H152" s="27">
        <f t="shared" si="4"/>
        <v>3.333333333333365</v>
      </c>
    </row>
    <row r="153" spans="5:8" x14ac:dyDescent="0.2">
      <c r="E153" s="27">
        <v>143</v>
      </c>
      <c r="F153" s="27">
        <f t="shared" si="5"/>
        <v>26.15</v>
      </c>
      <c r="G153" s="27">
        <v>143</v>
      </c>
      <c r="H153" s="27">
        <f t="shared" si="4"/>
        <v>3.3333333333333255</v>
      </c>
    </row>
    <row r="154" spans="5:8" x14ac:dyDescent="0.2">
      <c r="E154" s="27">
        <v>144</v>
      </c>
      <c r="F154" s="27">
        <f t="shared" si="5"/>
        <v>26.45</v>
      </c>
      <c r="G154" s="27">
        <v>144</v>
      </c>
      <c r="H154" s="27">
        <f t="shared" si="4"/>
        <v>3.2258064516128795</v>
      </c>
    </row>
    <row r="155" spans="5:8" x14ac:dyDescent="0.2">
      <c r="E155" s="27">
        <v>145</v>
      </c>
      <c r="F155" s="27">
        <f t="shared" si="5"/>
        <v>26.76</v>
      </c>
      <c r="G155" s="27">
        <v>145</v>
      </c>
      <c r="H155" s="27">
        <f t="shared" si="4"/>
        <v>3.2258064516129163</v>
      </c>
    </row>
    <row r="156" spans="5:8" x14ac:dyDescent="0.2">
      <c r="E156" s="27">
        <v>146</v>
      </c>
      <c r="F156" s="27">
        <f t="shared" si="5"/>
        <v>27.07</v>
      </c>
      <c r="G156" s="27">
        <v>146</v>
      </c>
      <c r="H156" s="27">
        <f t="shared" si="4"/>
        <v>3.2258064516129163</v>
      </c>
    </row>
    <row r="157" spans="5:8" x14ac:dyDescent="0.2">
      <c r="E157" s="27">
        <v>147</v>
      </c>
      <c r="F157" s="27">
        <f t="shared" si="5"/>
        <v>27.38</v>
      </c>
      <c r="G157" s="27">
        <v>147</v>
      </c>
      <c r="H157" s="27">
        <f t="shared" si="4"/>
        <v>3.1249999999999973</v>
      </c>
    </row>
    <row r="158" spans="5:8" x14ac:dyDescent="0.2">
      <c r="E158" s="27">
        <v>148</v>
      </c>
      <c r="F158" s="27">
        <f t="shared" si="5"/>
        <v>27.7</v>
      </c>
      <c r="G158" s="27">
        <v>148</v>
      </c>
      <c r="H158" s="27">
        <f t="shared" si="4"/>
        <v>3.0303030303030134</v>
      </c>
    </row>
    <row r="159" spans="5:8" x14ac:dyDescent="0.2">
      <c r="E159" s="27">
        <v>149</v>
      </c>
      <c r="F159" s="27">
        <f t="shared" si="5"/>
        <v>28.03</v>
      </c>
      <c r="G159" s="27">
        <v>149</v>
      </c>
      <c r="H159" s="27">
        <f t="shared" si="4"/>
        <v>3.1249999999999973</v>
      </c>
    </row>
    <row r="160" spans="5:8" x14ac:dyDescent="0.2">
      <c r="E160" s="27">
        <v>150</v>
      </c>
      <c r="F160" s="27">
        <f t="shared" si="5"/>
        <v>28.35</v>
      </c>
      <c r="G160" s="27">
        <v>150</v>
      </c>
      <c r="H160" s="27">
        <f t="shared" si="4"/>
        <v>2.9411764705882364</v>
      </c>
    </row>
    <row r="161" spans="5:8" x14ac:dyDescent="0.2">
      <c r="E161" s="27">
        <v>151</v>
      </c>
      <c r="F161" s="27">
        <f t="shared" si="5"/>
        <v>28.69</v>
      </c>
      <c r="G161" s="27">
        <v>151</v>
      </c>
      <c r="H161" s="27">
        <f t="shared" si="4"/>
        <v>3.0303030303030458</v>
      </c>
    </row>
    <row r="162" spans="5:8" x14ac:dyDescent="0.2">
      <c r="E162" s="27">
        <v>152</v>
      </c>
      <c r="F162" s="27">
        <f t="shared" si="5"/>
        <v>29.02</v>
      </c>
      <c r="G162" s="27">
        <v>152</v>
      </c>
      <c r="H162" s="27">
        <f t="shared" si="4"/>
        <v>2.9411764705882364</v>
      </c>
    </row>
    <row r="163" spans="5:8" x14ac:dyDescent="0.2">
      <c r="E163" s="27">
        <v>153</v>
      </c>
      <c r="F163" s="27">
        <f t="shared" si="5"/>
        <v>29.36</v>
      </c>
      <c r="G163" s="27">
        <v>153</v>
      </c>
      <c r="H163" s="27">
        <f t="shared" si="4"/>
        <v>2.8571428571428457</v>
      </c>
    </row>
    <row r="164" spans="5:8" x14ac:dyDescent="0.2">
      <c r="E164" s="27">
        <v>154</v>
      </c>
      <c r="F164" s="27">
        <f t="shared" si="5"/>
        <v>29.71</v>
      </c>
      <c r="G164" s="27">
        <v>154</v>
      </c>
      <c r="H164" s="27">
        <f t="shared" si="4"/>
        <v>2.8571428571428745</v>
      </c>
    </row>
    <row r="165" spans="5:8" x14ac:dyDescent="0.2">
      <c r="E165" s="27">
        <v>155</v>
      </c>
      <c r="F165" s="27">
        <f t="shared" si="5"/>
        <v>30.06</v>
      </c>
      <c r="G165" s="27">
        <v>155</v>
      </c>
      <c r="H165" s="27">
        <f t="shared" si="4"/>
        <v>2.7777777777777546</v>
      </c>
    </row>
    <row r="166" spans="5:8" x14ac:dyDescent="0.2">
      <c r="E166" s="27">
        <v>156</v>
      </c>
      <c r="F166" s="27">
        <f t="shared" si="5"/>
        <v>30.42</v>
      </c>
      <c r="G166" s="27">
        <v>156</v>
      </c>
      <c r="H166" s="27">
        <f t="shared" si="4"/>
        <v>2.7027027027027213</v>
      </c>
    </row>
    <row r="167" spans="5:8" x14ac:dyDescent="0.2">
      <c r="E167" s="27">
        <v>157</v>
      </c>
      <c r="F167" s="27">
        <f t="shared" si="5"/>
        <v>30.79</v>
      </c>
      <c r="G167" s="27">
        <v>157</v>
      </c>
      <c r="H167" s="27">
        <f t="shared" si="4"/>
        <v>2.7027027027026955</v>
      </c>
    </row>
    <row r="168" spans="5:8" x14ac:dyDescent="0.2">
      <c r="E168" s="27">
        <v>158</v>
      </c>
      <c r="F168" s="27">
        <f t="shared" si="5"/>
        <v>31.16</v>
      </c>
      <c r="G168" s="27">
        <v>158</v>
      </c>
      <c r="H168" s="27">
        <f t="shared" si="4"/>
        <v>2.7027027027026955</v>
      </c>
    </row>
    <row r="169" spans="5:8" x14ac:dyDescent="0.2">
      <c r="E169" s="27">
        <v>159</v>
      </c>
      <c r="F169" s="27">
        <f t="shared" si="5"/>
        <v>31.53</v>
      </c>
      <c r="G169" s="27">
        <v>159</v>
      </c>
      <c r="H169" s="27">
        <f t="shared" si="4"/>
        <v>2.6315789473684279</v>
      </c>
    </row>
    <row r="170" spans="5:8" x14ac:dyDescent="0.2">
      <c r="E170" s="27">
        <v>160</v>
      </c>
      <c r="F170" s="27">
        <f t="shared" si="5"/>
        <v>31.91</v>
      </c>
      <c r="G170" s="27">
        <v>160</v>
      </c>
      <c r="H170" s="27">
        <f t="shared" si="4"/>
        <v>2.5641025641025839</v>
      </c>
    </row>
    <row r="171" spans="5:8" x14ac:dyDescent="0.2">
      <c r="E171" s="27">
        <v>161</v>
      </c>
      <c r="F171" s="27">
        <f t="shared" si="5"/>
        <v>32.299999999999997</v>
      </c>
      <c r="G171" s="27">
        <v>161</v>
      </c>
      <c r="H171" s="27">
        <f t="shared" si="4"/>
        <v>2.4999999999999645</v>
      </c>
    </row>
    <row r="172" spans="5:8" x14ac:dyDescent="0.2">
      <c r="E172" s="27">
        <v>162</v>
      </c>
      <c r="F172" s="27">
        <f t="shared" si="5"/>
        <v>32.700000000000003</v>
      </c>
      <c r="G172" s="27">
        <v>162</v>
      </c>
      <c r="H172" s="27">
        <f t="shared" si="4"/>
        <v>2.5000000000000089</v>
      </c>
    </row>
    <row r="173" spans="5:8" x14ac:dyDescent="0.2">
      <c r="E173" s="27">
        <v>163</v>
      </c>
      <c r="F173" s="27">
        <f t="shared" si="5"/>
        <v>33.1</v>
      </c>
      <c r="G173" s="27">
        <v>163</v>
      </c>
      <c r="H173" s="27">
        <f t="shared" si="4"/>
        <v>2.4390243902439228</v>
      </c>
    </row>
    <row r="174" spans="5:8" x14ac:dyDescent="0.2">
      <c r="E174" s="27">
        <v>164</v>
      </c>
      <c r="F174" s="27">
        <f t="shared" si="5"/>
        <v>33.51</v>
      </c>
      <c r="G174" s="27">
        <v>164</v>
      </c>
      <c r="H174" s="27">
        <f t="shared" si="4"/>
        <v>2.3809523809523712</v>
      </c>
    </row>
    <row r="175" spans="5:8" x14ac:dyDescent="0.2">
      <c r="E175" s="27">
        <v>165</v>
      </c>
      <c r="F175" s="27">
        <f t="shared" si="5"/>
        <v>33.93</v>
      </c>
      <c r="G175" s="27">
        <v>165</v>
      </c>
      <c r="H175" s="27">
        <f t="shared" si="4"/>
        <v>2.3255813953488387</v>
      </c>
    </row>
    <row r="176" spans="5:8" x14ac:dyDescent="0.2">
      <c r="E176" s="27">
        <v>166</v>
      </c>
      <c r="F176" s="27">
        <f t="shared" si="5"/>
        <v>34.36</v>
      </c>
      <c r="G176" s="27">
        <v>166</v>
      </c>
      <c r="H176" s="27">
        <f t="shared" si="4"/>
        <v>2.2727272727272845</v>
      </c>
    </row>
    <row r="177" spans="5:8" x14ac:dyDescent="0.2">
      <c r="E177" s="27">
        <v>167</v>
      </c>
      <c r="F177" s="27">
        <f t="shared" si="5"/>
        <v>34.799999999999997</v>
      </c>
      <c r="G177" s="27">
        <v>167</v>
      </c>
      <c r="H177" s="27">
        <f t="shared" si="4"/>
        <v>2.2727272727272476</v>
      </c>
    </row>
    <row r="178" spans="5:8" x14ac:dyDescent="0.2">
      <c r="E178" s="27">
        <v>168</v>
      </c>
      <c r="F178" s="27">
        <f t="shared" si="5"/>
        <v>35.24</v>
      </c>
      <c r="G178" s="27">
        <v>168</v>
      </c>
      <c r="H178" s="27">
        <f t="shared" si="4"/>
        <v>2.1739130434782568</v>
      </c>
    </row>
    <row r="179" spans="5:8" x14ac:dyDescent="0.2">
      <c r="E179" s="27">
        <v>169</v>
      </c>
      <c r="F179" s="27">
        <f t="shared" si="5"/>
        <v>35.700000000000003</v>
      </c>
      <c r="G179" s="27">
        <v>169</v>
      </c>
      <c r="H179" s="27">
        <f t="shared" si="4"/>
        <v>2.1276595744680904</v>
      </c>
    </row>
    <row r="180" spans="5:8" x14ac:dyDescent="0.2">
      <c r="E180" s="27">
        <v>170</v>
      </c>
      <c r="F180" s="27">
        <f t="shared" si="5"/>
        <v>36.17</v>
      </c>
      <c r="G180" s="27">
        <v>170</v>
      </c>
      <c r="H180" s="27">
        <f t="shared" si="4"/>
        <v>2.1276595744680904</v>
      </c>
    </row>
    <row r="181" spans="5:8" x14ac:dyDescent="0.2">
      <c r="E181" s="27">
        <v>171</v>
      </c>
      <c r="F181" s="27">
        <f t="shared" si="5"/>
        <v>36.64</v>
      </c>
      <c r="G181" s="27">
        <v>171</v>
      </c>
      <c r="H181" s="27">
        <f t="shared" si="4"/>
        <v>2.0408163265306039</v>
      </c>
    </row>
    <row r="182" spans="5:8" x14ac:dyDescent="0.2">
      <c r="E182" s="27">
        <v>172</v>
      </c>
      <c r="F182" s="27">
        <f t="shared" si="5"/>
        <v>37.130000000000003</v>
      </c>
      <c r="G182" s="27">
        <v>172</v>
      </c>
      <c r="H182" s="27">
        <f t="shared" si="4"/>
        <v>2</v>
      </c>
    </row>
    <row r="183" spans="5:8" x14ac:dyDescent="0.2">
      <c r="E183" s="27">
        <v>173</v>
      </c>
      <c r="F183" s="27">
        <f t="shared" si="5"/>
        <v>37.630000000000003</v>
      </c>
      <c r="G183" s="27">
        <v>173</v>
      </c>
      <c r="H183" s="27">
        <f t="shared" si="4"/>
        <v>1.9230769230769378</v>
      </c>
    </row>
    <row r="184" spans="5:8" x14ac:dyDescent="0.2">
      <c r="E184" s="27">
        <v>174</v>
      </c>
      <c r="F184" s="27">
        <f t="shared" si="5"/>
        <v>38.15</v>
      </c>
      <c r="G184" s="27">
        <v>174</v>
      </c>
      <c r="H184" s="27">
        <f t="shared" si="4"/>
        <v>1.8867924528301847</v>
      </c>
    </row>
    <row r="185" spans="5:8" x14ac:dyDescent="0.2">
      <c r="E185" s="27">
        <v>175</v>
      </c>
      <c r="F185" s="27">
        <f t="shared" si="5"/>
        <v>38.68</v>
      </c>
      <c r="G185" s="27">
        <v>175</v>
      </c>
      <c r="H185" s="27">
        <f t="shared" si="4"/>
        <v>1.8518518518518547</v>
      </c>
    </row>
    <row r="186" spans="5:8" x14ac:dyDescent="0.2">
      <c r="E186" s="27">
        <v>176</v>
      </c>
      <c r="F186" s="27">
        <f t="shared" si="5"/>
        <v>39.22</v>
      </c>
      <c r="G186" s="27">
        <v>176</v>
      </c>
      <c r="H186" s="27">
        <f t="shared" si="4"/>
        <v>1.7857142857142785</v>
      </c>
    </row>
    <row r="187" spans="5:8" x14ac:dyDescent="0.2">
      <c r="E187" s="27">
        <v>177</v>
      </c>
      <c r="F187" s="27">
        <f t="shared" si="5"/>
        <v>39.78</v>
      </c>
      <c r="G187" s="27">
        <v>177</v>
      </c>
      <c r="H187" s="27">
        <f t="shared" si="4"/>
        <v>1.7241379310344878</v>
      </c>
    </row>
    <row r="188" spans="5:8" x14ac:dyDescent="0.2">
      <c r="E188" s="27">
        <v>178</v>
      </c>
      <c r="F188" s="27">
        <f t="shared" si="5"/>
        <v>40.36</v>
      </c>
      <c r="G188" s="27">
        <v>178</v>
      </c>
      <c r="H188" s="27">
        <f t="shared" si="4"/>
        <v>1.6949152542372783</v>
      </c>
    </row>
    <row r="189" spans="5:8" x14ac:dyDescent="0.2">
      <c r="E189" s="27">
        <v>179</v>
      </c>
      <c r="F189" s="27">
        <f t="shared" si="5"/>
        <v>40.950000000000003</v>
      </c>
      <c r="G189" s="27">
        <v>179</v>
      </c>
      <c r="H189" s="27">
        <f t="shared" si="4"/>
        <v>1.6129032258064582</v>
      </c>
    </row>
    <row r="190" spans="5:8" x14ac:dyDescent="0.2">
      <c r="E190" s="27">
        <v>180</v>
      </c>
      <c r="F190" s="27">
        <f t="shared" si="5"/>
        <v>41.57</v>
      </c>
      <c r="G190" s="27">
        <v>180</v>
      </c>
      <c r="H190" s="27">
        <f t="shared" si="4"/>
        <v>1.5624999999999987</v>
      </c>
    </row>
    <row r="191" spans="5:8" x14ac:dyDescent="0.2">
      <c r="E191" s="27">
        <v>181</v>
      </c>
      <c r="F191" s="27">
        <f t="shared" si="5"/>
        <v>42.21</v>
      </c>
      <c r="G191" s="27">
        <v>181</v>
      </c>
      <c r="H191" s="27">
        <f t="shared" si="4"/>
        <v>1.5151515151515229</v>
      </c>
    </row>
    <row r="192" spans="5:8" x14ac:dyDescent="0.2">
      <c r="E192" s="27">
        <v>182</v>
      </c>
      <c r="F192" s="27">
        <f t="shared" si="5"/>
        <v>42.87</v>
      </c>
      <c r="G192" s="27">
        <v>182</v>
      </c>
      <c r="H192" s="27">
        <f t="shared" si="4"/>
        <v>1.4492753623188304</v>
      </c>
    </row>
    <row r="193" spans="5:8" x14ac:dyDescent="0.2">
      <c r="E193" s="27">
        <v>183</v>
      </c>
      <c r="F193" s="27">
        <f t="shared" si="5"/>
        <v>43.56</v>
      </c>
      <c r="G193" s="27">
        <v>183</v>
      </c>
      <c r="H193" s="27">
        <f t="shared" si="4"/>
        <v>1.4084507042253505</v>
      </c>
    </row>
    <row r="194" spans="5:8" x14ac:dyDescent="0.2">
      <c r="E194" s="27">
        <v>184</v>
      </c>
      <c r="F194" s="27">
        <f t="shared" si="5"/>
        <v>44.27</v>
      </c>
      <c r="G194" s="27">
        <v>184</v>
      </c>
      <c r="H194" s="27">
        <f t="shared" si="4"/>
        <v>1.3333333333333333</v>
      </c>
    </row>
    <row r="195" spans="5:8" x14ac:dyDescent="0.2">
      <c r="E195" s="27">
        <v>185</v>
      </c>
      <c r="F195" s="27">
        <f t="shared" si="5"/>
        <v>45.02</v>
      </c>
      <c r="G195" s="27">
        <v>185</v>
      </c>
      <c r="H195" s="27">
        <f t="shared" si="4"/>
        <v>1.265822784810128</v>
      </c>
    </row>
    <row r="196" spans="5:8" x14ac:dyDescent="0.2">
      <c r="E196" s="27">
        <v>186</v>
      </c>
      <c r="F196" s="27">
        <f t="shared" si="5"/>
        <v>45.81</v>
      </c>
      <c r="G196" s="27">
        <v>186</v>
      </c>
      <c r="H196" s="27">
        <f t="shared" si="4"/>
        <v>1.2195121951219507</v>
      </c>
    </row>
    <row r="197" spans="5:8" x14ac:dyDescent="0.2">
      <c r="E197" s="27">
        <v>187</v>
      </c>
      <c r="F197" s="27">
        <f t="shared" si="5"/>
        <v>46.63</v>
      </c>
      <c r="G197" s="27">
        <v>187</v>
      </c>
      <c r="H197" s="27">
        <f t="shared" si="4"/>
        <v>1.1494252873563253</v>
      </c>
    </row>
    <row r="198" spans="5:8" x14ac:dyDescent="0.2">
      <c r="E198" s="27">
        <v>188</v>
      </c>
      <c r="F198" s="27">
        <f t="shared" si="5"/>
        <v>47.5</v>
      </c>
      <c r="G198" s="27">
        <v>188</v>
      </c>
      <c r="H198" s="27">
        <f t="shared" si="4"/>
        <v>1.0752688172043015</v>
      </c>
    </row>
    <row r="199" spans="5:8" x14ac:dyDescent="0.2">
      <c r="E199" s="27">
        <v>189</v>
      </c>
      <c r="F199" s="27">
        <f t="shared" si="5"/>
        <v>48.43</v>
      </c>
      <c r="G199" s="27">
        <v>189</v>
      </c>
      <c r="H199" s="27">
        <f t="shared" si="4"/>
        <v>1.0204081632653095</v>
      </c>
    </row>
    <row r="200" spans="5:8" x14ac:dyDescent="0.2">
      <c r="E200" s="27">
        <v>190</v>
      </c>
      <c r="F200" s="27">
        <f t="shared" si="5"/>
        <v>49.41</v>
      </c>
      <c r="G200" s="27">
        <v>190</v>
      </c>
      <c r="H200" s="27">
        <f t="shared" si="4"/>
        <v>0.95238095238094855</v>
      </c>
    </row>
    <row r="201" spans="5:8" x14ac:dyDescent="0.2">
      <c r="E201" s="27">
        <v>191</v>
      </c>
      <c r="F201" s="27">
        <f t="shared" si="5"/>
        <v>50.46</v>
      </c>
      <c r="G201" s="27">
        <v>191</v>
      </c>
      <c r="H201" s="27">
        <f t="shared" si="4"/>
        <v>0.86956521739130543</v>
      </c>
    </row>
    <row r="202" spans="5:8" x14ac:dyDescent="0.2">
      <c r="E202" s="27">
        <v>192</v>
      </c>
      <c r="F202" s="27">
        <f t="shared" si="5"/>
        <v>51.61</v>
      </c>
      <c r="G202" s="27">
        <v>192</v>
      </c>
      <c r="H202" s="27">
        <f t="shared" si="4"/>
        <v>0.80645161290322454</v>
      </c>
    </row>
    <row r="203" spans="5:8" x14ac:dyDescent="0.2">
      <c r="E203" s="27">
        <v>193</v>
      </c>
      <c r="F203" s="27">
        <f t="shared" si="5"/>
        <v>52.85</v>
      </c>
      <c r="G203" s="27">
        <v>193</v>
      </c>
      <c r="H203" s="27">
        <f t="shared" ref="H203:H210" si="6">1/(F204-F203)</f>
        <v>0.72463768115942273</v>
      </c>
    </row>
    <row r="204" spans="5:8" x14ac:dyDescent="0.2">
      <c r="E204" s="27">
        <v>194</v>
      </c>
      <c r="F204" s="27">
        <f t="shared" ref="F204:F210" si="7">ROUND(-$H$4*(1-E204/$H$4)^($H$7)/$H$7/$H$5-$F$7,2)</f>
        <v>54.23</v>
      </c>
      <c r="G204" s="27">
        <v>194</v>
      </c>
      <c r="H204" s="27">
        <f t="shared" si="6"/>
        <v>0.64516129032257885</v>
      </c>
    </row>
    <row r="205" spans="5:8" x14ac:dyDescent="0.2">
      <c r="E205" s="27">
        <v>195</v>
      </c>
      <c r="F205" s="27">
        <f t="shared" si="7"/>
        <v>55.78</v>
      </c>
      <c r="G205" s="27">
        <v>195</v>
      </c>
      <c r="H205" s="27">
        <f t="shared" si="6"/>
        <v>0.56179775280898836</v>
      </c>
    </row>
    <row r="206" spans="5:8" x14ac:dyDescent="0.2">
      <c r="E206" s="27">
        <v>196</v>
      </c>
      <c r="F206" s="27">
        <f t="shared" si="7"/>
        <v>57.56</v>
      </c>
      <c r="G206" s="27">
        <v>196</v>
      </c>
      <c r="H206" s="27">
        <f t="shared" si="6"/>
        <v>0.46948356807511837</v>
      </c>
    </row>
    <row r="207" spans="5:8" x14ac:dyDescent="0.2">
      <c r="E207" s="27">
        <v>197</v>
      </c>
      <c r="F207" s="27">
        <f t="shared" si="7"/>
        <v>59.69</v>
      </c>
      <c r="G207" s="27">
        <v>197</v>
      </c>
      <c r="H207" s="27">
        <f t="shared" si="6"/>
        <v>0.36900369003690026</v>
      </c>
    </row>
    <row r="208" spans="5:8" x14ac:dyDescent="0.2">
      <c r="E208" s="27">
        <v>198</v>
      </c>
      <c r="F208" s="27">
        <f t="shared" si="7"/>
        <v>62.4</v>
      </c>
      <c r="G208" s="27">
        <v>198</v>
      </c>
      <c r="H208" s="27">
        <f t="shared" si="6"/>
        <v>0.2544529262086514</v>
      </c>
    </row>
    <row r="209" spans="5:8" x14ac:dyDescent="0.2">
      <c r="E209" s="27">
        <v>199</v>
      </c>
      <c r="F209" s="27">
        <f t="shared" si="7"/>
        <v>66.33</v>
      </c>
      <c r="G209" s="27">
        <v>199</v>
      </c>
      <c r="H209" s="27">
        <f t="shared" si="6"/>
        <v>5.8823529411764705E-2</v>
      </c>
    </row>
    <row r="210" spans="5:8" x14ac:dyDescent="0.2">
      <c r="E210" s="27">
        <v>200</v>
      </c>
      <c r="F210" s="27">
        <f t="shared" si="7"/>
        <v>83.33</v>
      </c>
      <c r="G210" s="27">
        <v>200</v>
      </c>
      <c r="H210" s="27">
        <f t="shared" si="6"/>
        <v>-1.2000480019200769E-2</v>
      </c>
    </row>
  </sheetData>
  <pageMargins left="0.75" right="0.75" top="1" bottom="1" header="0.49212598499999999" footer="0.49212598499999999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U970"/>
  <sheetViews>
    <sheetView workbookViewId="0">
      <selection activeCell="O29" sqref="O29"/>
    </sheetView>
  </sheetViews>
  <sheetFormatPr defaultRowHeight="12.75" x14ac:dyDescent="0.2"/>
  <cols>
    <col min="4" max="4" width="11" customWidth="1"/>
    <col min="5" max="5" width="11.140625" customWidth="1"/>
    <col min="14" max="14" width="23.140625" customWidth="1"/>
  </cols>
  <sheetData>
    <row r="1" spans="2:21" x14ac:dyDescent="0.2">
      <c r="B1" s="1" t="s">
        <v>44</v>
      </c>
      <c r="G1" s="1" t="s">
        <v>43</v>
      </c>
      <c r="P1" s="1" t="s">
        <v>60</v>
      </c>
    </row>
    <row r="2" spans="2:21" x14ac:dyDescent="0.2">
      <c r="B2">
        <v>-76.917723365921603</v>
      </c>
      <c r="C2">
        <v>39.094580624650902</v>
      </c>
      <c r="G2">
        <v>-77.045599999999993</v>
      </c>
      <c r="H2">
        <v>38.994959999999999</v>
      </c>
      <c r="I2">
        <v>313</v>
      </c>
      <c r="M2" s="1" t="s">
        <v>88</v>
      </c>
      <c r="N2" t="s">
        <v>78</v>
      </c>
      <c r="O2">
        <v>700009</v>
      </c>
      <c r="P2">
        <v>-77.053096999999994</v>
      </c>
      <c r="Q2">
        <v>39.061743</v>
      </c>
      <c r="R2">
        <v>0</v>
      </c>
      <c r="S2">
        <v>0</v>
      </c>
      <c r="T2">
        <v>0</v>
      </c>
      <c r="U2" s="1" t="s">
        <v>88</v>
      </c>
    </row>
    <row r="3" spans="2:21" x14ac:dyDescent="0.2">
      <c r="B3">
        <v>-77.004034767199798</v>
      </c>
      <c r="C3">
        <v>38.968391232523203</v>
      </c>
      <c r="G3">
        <v>-77.087599999999995</v>
      </c>
      <c r="H3">
        <v>38.959359999999997</v>
      </c>
      <c r="I3">
        <v>603</v>
      </c>
      <c r="M3" s="1" t="s">
        <v>89</v>
      </c>
      <c r="N3" t="s">
        <v>77</v>
      </c>
      <c r="O3">
        <v>700010</v>
      </c>
      <c r="P3">
        <v>-77.050775999999999</v>
      </c>
      <c r="Q3">
        <v>39.038564999999998</v>
      </c>
      <c r="R3">
        <v>0</v>
      </c>
      <c r="S3">
        <v>0</v>
      </c>
      <c r="T3">
        <v>0</v>
      </c>
      <c r="U3" s="1" t="s">
        <v>89</v>
      </c>
    </row>
    <row r="4" spans="2:21" x14ac:dyDescent="0.2">
      <c r="B4">
        <v>-77.040221088902896</v>
      </c>
      <c r="C4">
        <v>38.995811382789398</v>
      </c>
      <c r="G4">
        <v>-77.014799999999994</v>
      </c>
      <c r="H4">
        <v>38.974879999999999</v>
      </c>
      <c r="I4">
        <v>6046</v>
      </c>
      <c r="J4" s="3"/>
      <c r="M4" s="1" t="s">
        <v>90</v>
      </c>
      <c r="N4" t="s">
        <v>76</v>
      </c>
      <c r="O4">
        <v>700011</v>
      </c>
      <c r="P4">
        <v>-77.042666999999994</v>
      </c>
      <c r="Q4">
        <v>39.015464999999999</v>
      </c>
      <c r="R4">
        <v>0</v>
      </c>
      <c r="S4">
        <v>0</v>
      </c>
      <c r="T4">
        <v>0</v>
      </c>
      <c r="U4" s="1" t="s">
        <v>90</v>
      </c>
    </row>
    <row r="5" spans="2:21" x14ac:dyDescent="0.2">
      <c r="B5">
        <v>-77.112334278652497</v>
      </c>
      <c r="C5">
        <v>38.942393900214803</v>
      </c>
      <c r="G5">
        <v>-76.941100000000006</v>
      </c>
      <c r="H5">
        <v>39.075899999999997</v>
      </c>
      <c r="I5">
        <v>10104</v>
      </c>
      <c r="J5" s="3"/>
      <c r="M5" s="1" t="s">
        <v>91</v>
      </c>
      <c r="N5" t="s">
        <v>75</v>
      </c>
      <c r="O5">
        <v>700012</v>
      </c>
      <c r="P5">
        <v>-77.032307000000003</v>
      </c>
      <c r="Q5">
        <v>38.993658000000003</v>
      </c>
      <c r="R5">
        <v>0</v>
      </c>
      <c r="S5">
        <v>0</v>
      </c>
      <c r="T5">
        <v>0</v>
      </c>
      <c r="U5" s="1" t="s">
        <v>91</v>
      </c>
    </row>
    <row r="6" spans="2:21" x14ac:dyDescent="0.2">
      <c r="B6">
        <v>-77.285679391925299</v>
      </c>
      <c r="C6">
        <v>39.056497400809199</v>
      </c>
      <c r="G6">
        <v>-77.195999999999998</v>
      </c>
      <c r="H6">
        <v>38.97542</v>
      </c>
      <c r="I6">
        <v>13392</v>
      </c>
      <c r="J6" s="3"/>
      <c r="M6" s="1" t="s">
        <v>92</v>
      </c>
      <c r="N6" t="s">
        <v>74</v>
      </c>
      <c r="O6">
        <v>700013</v>
      </c>
      <c r="P6">
        <v>-77.017420999999999</v>
      </c>
      <c r="Q6">
        <v>38.975431999999998</v>
      </c>
      <c r="R6">
        <v>0</v>
      </c>
      <c r="S6">
        <v>0</v>
      </c>
      <c r="T6">
        <v>0</v>
      </c>
      <c r="U6" s="1" t="s">
        <v>92</v>
      </c>
    </row>
    <row r="7" spans="2:21" x14ac:dyDescent="0.2">
      <c r="B7">
        <v>-77.438637386793403</v>
      </c>
      <c r="C7">
        <v>39.079375541938198</v>
      </c>
      <c r="G7">
        <v>-77.417900000000003</v>
      </c>
      <c r="H7">
        <v>39.146129999999999</v>
      </c>
      <c r="I7">
        <v>30894</v>
      </c>
      <c r="J7" s="3"/>
      <c r="M7" s="1" t="s">
        <v>93</v>
      </c>
      <c r="N7" t="s">
        <v>87</v>
      </c>
      <c r="O7">
        <v>700014</v>
      </c>
      <c r="P7">
        <v>-77.001863999999998</v>
      </c>
      <c r="Q7">
        <v>38.951808</v>
      </c>
      <c r="R7">
        <v>0</v>
      </c>
      <c r="S7">
        <v>0</v>
      </c>
      <c r="T7">
        <v>0</v>
      </c>
      <c r="U7" s="1" t="s">
        <v>93</v>
      </c>
    </row>
    <row r="8" spans="2:21" x14ac:dyDescent="0.2">
      <c r="B8">
        <v>-77.515599020494804</v>
      </c>
      <c r="C8">
        <v>39.165559229372299</v>
      </c>
      <c r="G8">
        <v>-77.253500000000003</v>
      </c>
      <c r="H8">
        <v>39.116120000000002</v>
      </c>
      <c r="I8">
        <v>30911</v>
      </c>
      <c r="J8" s="3"/>
      <c r="M8" s="1" t="s">
        <v>94</v>
      </c>
      <c r="N8" t="s">
        <v>86</v>
      </c>
      <c r="O8">
        <v>700015</v>
      </c>
      <c r="P8">
        <v>-76.994473999999997</v>
      </c>
      <c r="Q8">
        <v>38.933231999999997</v>
      </c>
      <c r="R8">
        <v>0</v>
      </c>
      <c r="S8">
        <v>0</v>
      </c>
      <c r="T8">
        <v>0</v>
      </c>
      <c r="U8" s="1" t="s">
        <v>94</v>
      </c>
    </row>
    <row r="9" spans="2:21" x14ac:dyDescent="0.2">
      <c r="B9" s="3">
        <v>-77.206820855577305</v>
      </c>
      <c r="C9" s="3">
        <v>39.332756959193397</v>
      </c>
      <c r="G9">
        <v>-77.203299999999999</v>
      </c>
      <c r="H9">
        <v>39.260069999999999</v>
      </c>
      <c r="I9">
        <v>32760</v>
      </c>
      <c r="J9" s="3"/>
      <c r="M9" s="1" t="s">
        <v>114</v>
      </c>
      <c r="N9" t="s">
        <v>85</v>
      </c>
      <c r="O9">
        <v>700016</v>
      </c>
      <c r="P9">
        <v>-76.995682000000002</v>
      </c>
      <c r="Q9">
        <v>38.920777999999999</v>
      </c>
      <c r="R9">
        <v>0</v>
      </c>
      <c r="S9">
        <v>0</v>
      </c>
      <c r="T9">
        <v>0</v>
      </c>
      <c r="U9" s="1" t="s">
        <v>114</v>
      </c>
    </row>
    <row r="10" spans="2:21" x14ac:dyDescent="0.2">
      <c r="J10" s="3"/>
      <c r="M10" s="1" t="s">
        <v>113</v>
      </c>
      <c r="N10" t="s">
        <v>84</v>
      </c>
      <c r="O10">
        <v>700017</v>
      </c>
      <c r="P10">
        <v>-77.002981000000005</v>
      </c>
      <c r="Q10">
        <v>38.907412999999998</v>
      </c>
      <c r="R10">
        <v>0</v>
      </c>
      <c r="S10">
        <v>0</v>
      </c>
      <c r="T10">
        <v>0</v>
      </c>
      <c r="U10" s="1" t="s">
        <v>113</v>
      </c>
    </row>
    <row r="11" spans="2:21" x14ac:dyDescent="0.2">
      <c r="B11" s="3"/>
      <c r="C11" s="3"/>
      <c r="J11" s="3"/>
      <c r="M11" s="1" t="s">
        <v>112</v>
      </c>
      <c r="N11" t="s">
        <v>73</v>
      </c>
      <c r="O11">
        <v>700018</v>
      </c>
      <c r="P11">
        <v>-77.006401999999994</v>
      </c>
      <c r="Q11">
        <v>38.897770000000001</v>
      </c>
      <c r="R11">
        <v>0</v>
      </c>
      <c r="S11">
        <v>0</v>
      </c>
      <c r="T11">
        <v>0</v>
      </c>
      <c r="U11" s="1" t="s">
        <v>112</v>
      </c>
    </row>
    <row r="12" spans="2:21" x14ac:dyDescent="0.2">
      <c r="G12" s="3" t="s">
        <v>52</v>
      </c>
      <c r="H12" s="3" t="s">
        <v>53</v>
      </c>
      <c r="J12" s="3"/>
      <c r="M12" s="1" t="s">
        <v>111</v>
      </c>
      <c r="N12" t="s">
        <v>72</v>
      </c>
      <c r="O12">
        <v>700019</v>
      </c>
      <c r="P12">
        <v>-77.016311999999999</v>
      </c>
      <c r="Q12">
        <v>38.896121000000001</v>
      </c>
      <c r="R12">
        <v>0</v>
      </c>
      <c r="S12">
        <v>0</v>
      </c>
      <c r="T12">
        <v>0</v>
      </c>
      <c r="U12" s="1" t="s">
        <v>111</v>
      </c>
    </row>
    <row r="13" spans="2:21" x14ac:dyDescent="0.2">
      <c r="G13" s="3">
        <v>1379</v>
      </c>
      <c r="H13" s="3">
        <v>1395</v>
      </c>
      <c r="J13" s="3"/>
      <c r="M13" s="1" t="s">
        <v>110</v>
      </c>
      <c r="N13" t="s">
        <v>83</v>
      </c>
      <c r="O13">
        <v>700020</v>
      </c>
      <c r="P13">
        <v>-77.021527000000006</v>
      </c>
      <c r="Q13">
        <v>38.898353999999998</v>
      </c>
      <c r="R13">
        <v>0</v>
      </c>
      <c r="S13">
        <v>0</v>
      </c>
      <c r="T13">
        <v>0</v>
      </c>
      <c r="U13" s="1" t="s">
        <v>110</v>
      </c>
    </row>
    <row r="14" spans="2:21" x14ac:dyDescent="0.2">
      <c r="G14" s="3">
        <v>1380</v>
      </c>
      <c r="H14" s="3">
        <v>1393</v>
      </c>
      <c r="J14" s="3"/>
      <c r="M14" s="1" t="s">
        <v>109</v>
      </c>
      <c r="N14" t="s">
        <v>82</v>
      </c>
      <c r="O14">
        <v>700021</v>
      </c>
      <c r="P14">
        <v>-77.027777</v>
      </c>
      <c r="Q14">
        <v>38.898327000000002</v>
      </c>
      <c r="R14">
        <v>0</v>
      </c>
      <c r="S14">
        <v>0</v>
      </c>
      <c r="T14">
        <v>0</v>
      </c>
      <c r="U14" s="1" t="s">
        <v>109</v>
      </c>
    </row>
    <row r="15" spans="2:21" x14ac:dyDescent="0.2">
      <c r="G15" s="3">
        <v>1381</v>
      </c>
      <c r="H15" s="3">
        <v>1404</v>
      </c>
      <c r="J15" s="3"/>
      <c r="M15" s="1" t="s">
        <v>108</v>
      </c>
      <c r="N15" t="s">
        <v>71</v>
      </c>
      <c r="O15">
        <v>700022</v>
      </c>
      <c r="P15">
        <v>-77.039501999999999</v>
      </c>
      <c r="Q15">
        <v>38.903297000000002</v>
      </c>
      <c r="R15">
        <v>0</v>
      </c>
      <c r="S15">
        <v>0</v>
      </c>
      <c r="T15">
        <v>0</v>
      </c>
      <c r="U15" s="1" t="s">
        <v>108</v>
      </c>
    </row>
    <row r="16" spans="2:21" x14ac:dyDescent="0.2">
      <c r="G16" s="3">
        <v>1382</v>
      </c>
      <c r="H16" s="3">
        <v>1397</v>
      </c>
      <c r="J16" s="3"/>
      <c r="M16" s="1" t="s">
        <v>107</v>
      </c>
      <c r="N16" t="s">
        <v>70</v>
      </c>
      <c r="O16">
        <v>700023</v>
      </c>
      <c r="P16">
        <v>-77.044427999999996</v>
      </c>
      <c r="Q16">
        <v>38.911129000000003</v>
      </c>
      <c r="R16">
        <v>0</v>
      </c>
      <c r="S16">
        <v>0</v>
      </c>
      <c r="T16">
        <v>0</v>
      </c>
      <c r="U16" s="1" t="s">
        <v>107</v>
      </c>
    </row>
    <row r="17" spans="4:21" x14ac:dyDescent="0.2">
      <c r="G17" s="3">
        <v>1383</v>
      </c>
      <c r="H17" s="3">
        <v>1401</v>
      </c>
      <c r="J17" s="3"/>
      <c r="M17" s="1" t="s">
        <v>106</v>
      </c>
      <c r="N17" t="s">
        <v>69</v>
      </c>
      <c r="O17">
        <v>700024</v>
      </c>
      <c r="P17">
        <v>-77.052350000000004</v>
      </c>
      <c r="Q17">
        <v>38.924999999999997</v>
      </c>
      <c r="R17">
        <v>0</v>
      </c>
      <c r="S17">
        <v>0</v>
      </c>
      <c r="T17">
        <v>0</v>
      </c>
      <c r="U17" s="1" t="s">
        <v>106</v>
      </c>
    </row>
    <row r="18" spans="4:21" x14ac:dyDescent="0.2">
      <c r="G18" s="3">
        <v>1384</v>
      </c>
      <c r="H18" s="3">
        <v>1395</v>
      </c>
      <c r="J18" s="3"/>
      <c r="M18" s="1" t="s">
        <v>105</v>
      </c>
      <c r="N18" t="s">
        <v>68</v>
      </c>
      <c r="O18">
        <v>700025</v>
      </c>
      <c r="P18">
        <v>-77.058623999999995</v>
      </c>
      <c r="Q18">
        <v>38.935851999999997</v>
      </c>
      <c r="R18">
        <v>0</v>
      </c>
      <c r="S18">
        <v>0</v>
      </c>
      <c r="T18">
        <v>0</v>
      </c>
      <c r="U18" s="1" t="s">
        <v>105</v>
      </c>
    </row>
    <row r="19" spans="4:21" x14ac:dyDescent="0.2">
      <c r="G19" s="3">
        <v>1386</v>
      </c>
      <c r="H19" s="3">
        <v>1393</v>
      </c>
      <c r="J19" s="3"/>
      <c r="M19" s="1" t="s">
        <v>104</v>
      </c>
      <c r="N19" t="s">
        <v>81</v>
      </c>
      <c r="O19">
        <v>700026</v>
      </c>
      <c r="P19">
        <v>-77.063715999999999</v>
      </c>
      <c r="Q19">
        <v>38.944519</v>
      </c>
      <c r="R19">
        <v>0</v>
      </c>
      <c r="S19">
        <v>0</v>
      </c>
      <c r="T19">
        <v>0</v>
      </c>
      <c r="U19" s="1" t="s">
        <v>104</v>
      </c>
    </row>
    <row r="20" spans="4:21" x14ac:dyDescent="0.2">
      <c r="G20" s="3">
        <v>1387</v>
      </c>
      <c r="H20" s="3">
        <v>1404</v>
      </c>
      <c r="J20" s="3"/>
      <c r="M20" s="1" t="s">
        <v>103</v>
      </c>
      <c r="N20" t="s">
        <v>80</v>
      </c>
      <c r="O20">
        <v>700027</v>
      </c>
      <c r="P20">
        <v>-77.079299000000006</v>
      </c>
      <c r="Q20">
        <v>38.947848999999998</v>
      </c>
      <c r="R20">
        <v>0</v>
      </c>
      <c r="S20">
        <v>0</v>
      </c>
      <c r="T20">
        <v>0</v>
      </c>
      <c r="U20" s="1" t="s">
        <v>103</v>
      </c>
    </row>
    <row r="21" spans="4:21" x14ac:dyDescent="0.2">
      <c r="G21" s="3">
        <v>1388</v>
      </c>
      <c r="H21" s="3">
        <v>1401</v>
      </c>
      <c r="J21" s="3"/>
      <c r="M21" s="1" t="s">
        <v>102</v>
      </c>
      <c r="N21" t="s">
        <v>67</v>
      </c>
      <c r="O21">
        <v>700028</v>
      </c>
      <c r="P21">
        <v>-77.085767000000004</v>
      </c>
      <c r="Q21">
        <v>38.960996999999999</v>
      </c>
      <c r="R21">
        <v>0</v>
      </c>
      <c r="S21">
        <v>0</v>
      </c>
      <c r="T21">
        <v>0</v>
      </c>
      <c r="U21" s="1" t="s">
        <v>102</v>
      </c>
    </row>
    <row r="22" spans="4:21" x14ac:dyDescent="0.2">
      <c r="G22" s="3">
        <v>1389</v>
      </c>
      <c r="H22" s="3">
        <v>1397</v>
      </c>
      <c r="J22" s="3"/>
      <c r="M22" s="1" t="s">
        <v>101</v>
      </c>
      <c r="N22" t="s">
        <v>66</v>
      </c>
      <c r="O22">
        <v>700029</v>
      </c>
      <c r="P22">
        <v>-77.094150999999997</v>
      </c>
      <c r="Q22">
        <v>38.984431000000001</v>
      </c>
      <c r="R22">
        <v>0</v>
      </c>
      <c r="S22">
        <v>0</v>
      </c>
      <c r="T22">
        <v>0</v>
      </c>
      <c r="U22" s="1" t="s">
        <v>101</v>
      </c>
    </row>
    <row r="23" spans="4:21" x14ac:dyDescent="0.2">
      <c r="G23" s="3">
        <v>1390</v>
      </c>
      <c r="H23" s="3">
        <v>1395</v>
      </c>
      <c r="J23" s="3"/>
      <c r="M23" s="1" t="s">
        <v>100</v>
      </c>
      <c r="N23" t="s">
        <v>65</v>
      </c>
      <c r="O23">
        <v>700030</v>
      </c>
      <c r="P23">
        <v>-77.096947999999998</v>
      </c>
      <c r="Q23">
        <v>39.000062</v>
      </c>
      <c r="R23">
        <v>0</v>
      </c>
      <c r="S23">
        <v>0</v>
      </c>
      <c r="T23">
        <v>0</v>
      </c>
      <c r="U23" s="1" t="s">
        <v>100</v>
      </c>
    </row>
    <row r="24" spans="4:21" x14ac:dyDescent="0.2">
      <c r="G24" s="3">
        <v>1394</v>
      </c>
      <c r="H24" s="3">
        <v>1395</v>
      </c>
      <c r="J24" s="3"/>
      <c r="M24" s="1" t="s">
        <v>99</v>
      </c>
      <c r="N24" t="s">
        <v>79</v>
      </c>
      <c r="O24">
        <v>700031</v>
      </c>
      <c r="P24">
        <v>-77.103837999999996</v>
      </c>
      <c r="Q24">
        <v>39.029243000000001</v>
      </c>
      <c r="R24">
        <v>0</v>
      </c>
      <c r="S24">
        <v>0</v>
      </c>
      <c r="T24">
        <v>0</v>
      </c>
      <c r="U24" s="1" t="s">
        <v>99</v>
      </c>
    </row>
    <row r="25" spans="4:21" x14ac:dyDescent="0.2">
      <c r="G25" s="3">
        <v>1396</v>
      </c>
      <c r="H25" s="3">
        <v>1404</v>
      </c>
      <c r="J25" s="3"/>
      <c r="M25" s="1" t="s">
        <v>98</v>
      </c>
      <c r="N25" t="s">
        <v>64</v>
      </c>
      <c r="O25">
        <v>700032</v>
      </c>
      <c r="P25">
        <v>-77.112781999999996</v>
      </c>
      <c r="Q25">
        <v>39.047162</v>
      </c>
      <c r="R25">
        <v>0</v>
      </c>
      <c r="S25">
        <v>0</v>
      </c>
      <c r="T25">
        <v>0</v>
      </c>
      <c r="U25" s="1" t="s">
        <v>98</v>
      </c>
    </row>
    <row r="26" spans="4:21" x14ac:dyDescent="0.2">
      <c r="G26" s="3">
        <v>1398</v>
      </c>
      <c r="H26" s="3">
        <v>1404</v>
      </c>
      <c r="J26" s="3"/>
      <c r="M26" s="1" t="s">
        <v>97</v>
      </c>
      <c r="N26" t="s">
        <v>63</v>
      </c>
      <c r="O26">
        <v>700033</v>
      </c>
      <c r="P26">
        <v>-77.120791999999994</v>
      </c>
      <c r="Q26">
        <v>39.062389000000003</v>
      </c>
      <c r="R26">
        <v>0</v>
      </c>
      <c r="S26">
        <v>0</v>
      </c>
      <c r="T26">
        <v>0</v>
      </c>
      <c r="U26" s="1" t="s">
        <v>97</v>
      </c>
    </row>
    <row r="27" spans="4:21" x14ac:dyDescent="0.2">
      <c r="J27" s="3"/>
      <c r="M27" s="1" t="s">
        <v>95</v>
      </c>
      <c r="N27" t="s">
        <v>62</v>
      </c>
      <c r="O27">
        <v>700034</v>
      </c>
      <c r="P27">
        <v>-77.146688999999995</v>
      </c>
      <c r="Q27">
        <v>39.085451999999997</v>
      </c>
      <c r="R27">
        <v>0</v>
      </c>
      <c r="S27">
        <v>0</v>
      </c>
      <c r="T27">
        <v>0</v>
      </c>
      <c r="U27" s="1" t="s">
        <v>95</v>
      </c>
    </row>
    <row r="28" spans="4:21" x14ac:dyDescent="0.2">
      <c r="D28" s="1" t="s">
        <v>117</v>
      </c>
      <c r="E28" s="1" t="s">
        <v>118</v>
      </c>
      <c r="J28" s="3"/>
      <c r="M28" s="1" t="s">
        <v>96</v>
      </c>
      <c r="N28" t="s">
        <v>61</v>
      </c>
      <c r="O28">
        <v>700035</v>
      </c>
      <c r="P28">
        <v>-77.164760999999999</v>
      </c>
      <c r="Q28">
        <v>39.119990000000001</v>
      </c>
      <c r="R28">
        <v>0</v>
      </c>
      <c r="S28">
        <v>0</v>
      </c>
      <c r="T28">
        <v>0</v>
      </c>
      <c r="U28" s="1" t="s">
        <v>96</v>
      </c>
    </row>
    <row r="29" spans="4:21" x14ac:dyDescent="0.2">
      <c r="D29">
        <v>100</v>
      </c>
    </row>
    <row r="30" spans="4:21" x14ac:dyDescent="0.2">
      <c r="D30">
        <f>SIN(RADIANS(15))</f>
        <v>0.25881904510252074</v>
      </c>
    </row>
    <row r="32" spans="4:21" x14ac:dyDescent="0.2">
      <c r="D32">
        <v>100</v>
      </c>
      <c r="E32">
        <v>1.25</v>
      </c>
      <c r="N32" s="1" t="s">
        <v>140</v>
      </c>
    </row>
    <row r="33" spans="2:18" x14ac:dyDescent="0.2">
      <c r="D33">
        <v>2000</v>
      </c>
      <c r="E33">
        <v>1.4</v>
      </c>
      <c r="M33">
        <v>3</v>
      </c>
      <c r="N33" s="1" t="s">
        <v>141</v>
      </c>
      <c r="O33">
        <v>114222</v>
      </c>
      <c r="P33">
        <v>102367</v>
      </c>
      <c r="Q33">
        <v>300</v>
      </c>
      <c r="R33">
        <v>301</v>
      </c>
    </row>
    <row r="34" spans="2:18" x14ac:dyDescent="0.2">
      <c r="M34" s="1" t="s">
        <v>147</v>
      </c>
      <c r="N34" s="1" t="s">
        <v>142</v>
      </c>
      <c r="O34">
        <v>102810</v>
      </c>
      <c r="P34">
        <v>102395</v>
      </c>
      <c r="Q34">
        <v>420</v>
      </c>
      <c r="R34">
        <v>421</v>
      </c>
    </row>
    <row r="35" spans="2:18" x14ac:dyDescent="0.2">
      <c r="M35" s="1" t="s">
        <v>146</v>
      </c>
      <c r="N35" s="1" t="s">
        <v>143</v>
      </c>
      <c r="O35">
        <v>116273</v>
      </c>
      <c r="P35">
        <v>102362</v>
      </c>
      <c r="Q35">
        <v>410</v>
      </c>
      <c r="R35">
        <v>411</v>
      </c>
    </row>
    <row r="36" spans="2:18" x14ac:dyDescent="0.2">
      <c r="M36" s="1" t="s">
        <v>148</v>
      </c>
      <c r="N36" s="1" t="s">
        <v>144</v>
      </c>
      <c r="O36">
        <v>114222</v>
      </c>
      <c r="P36">
        <v>109973</v>
      </c>
      <c r="Q36">
        <v>1020</v>
      </c>
      <c r="R36">
        <v>1021</v>
      </c>
    </row>
    <row r="37" spans="2:18" x14ac:dyDescent="0.2">
      <c r="M37" s="1" t="s">
        <v>149</v>
      </c>
      <c r="N37" s="1" t="s">
        <v>145</v>
      </c>
      <c r="O37">
        <v>123182</v>
      </c>
      <c r="P37">
        <v>118066</v>
      </c>
      <c r="Q37">
        <v>1010</v>
      </c>
      <c r="R37">
        <v>1011</v>
      </c>
    </row>
    <row r="38" spans="2:18" x14ac:dyDescent="0.2">
      <c r="M38" s="1" t="s">
        <v>149</v>
      </c>
      <c r="N38" s="1" t="s">
        <v>145</v>
      </c>
      <c r="O38" s="3">
        <v>118066</v>
      </c>
      <c r="P38" s="3">
        <v>756632</v>
      </c>
      <c r="Q38" s="3">
        <v>1010</v>
      </c>
      <c r="R38" s="3">
        <v>1011</v>
      </c>
    </row>
    <row r="39" spans="2:18" x14ac:dyDescent="0.2">
      <c r="M39">
        <v>19</v>
      </c>
      <c r="N39" s="1" t="s">
        <v>150</v>
      </c>
      <c r="O39">
        <v>327492</v>
      </c>
      <c r="P39">
        <v>102395</v>
      </c>
      <c r="Q39">
        <v>1900</v>
      </c>
      <c r="R39">
        <v>1901</v>
      </c>
    </row>
    <row r="41" spans="2:18" x14ac:dyDescent="0.2">
      <c r="J41">
        <v>1.25</v>
      </c>
    </row>
    <row r="42" spans="2:18" x14ac:dyDescent="0.2">
      <c r="J42">
        <v>1.4</v>
      </c>
    </row>
    <row r="43" spans="2:18" x14ac:dyDescent="0.2">
      <c r="J43" t="s">
        <v>118</v>
      </c>
    </row>
    <row r="44" spans="2:18" x14ac:dyDescent="0.2">
      <c r="O44" s="1" t="s">
        <v>170</v>
      </c>
      <c r="P44" s="1" t="s">
        <v>171</v>
      </c>
    </row>
    <row r="45" spans="2:18" x14ac:dyDescent="0.2">
      <c r="B45" s="1" t="s">
        <v>139</v>
      </c>
      <c r="C45">
        <v>327522</v>
      </c>
      <c r="D45">
        <v>327947</v>
      </c>
      <c r="E45">
        <v>0.04</v>
      </c>
      <c r="F45" t="s">
        <v>138</v>
      </c>
      <c r="G45">
        <v>2</v>
      </c>
      <c r="H45">
        <v>0</v>
      </c>
      <c r="I45">
        <v>0</v>
      </c>
      <c r="J45">
        <v>0</v>
      </c>
      <c r="K45">
        <v>6272.9</v>
      </c>
      <c r="L45">
        <v>6</v>
      </c>
      <c r="O45">
        <v>310</v>
      </c>
      <c r="P45">
        <v>2400</v>
      </c>
      <c r="Q45">
        <f>P45*O45</f>
        <v>744000</v>
      </c>
    </row>
    <row r="46" spans="2:18" x14ac:dyDescent="0.2">
      <c r="B46" t="s">
        <v>137</v>
      </c>
      <c r="C46">
        <v>327941</v>
      </c>
      <c r="D46">
        <v>327527</v>
      </c>
      <c r="E46">
        <v>0.08</v>
      </c>
      <c r="F46" t="s">
        <v>138</v>
      </c>
      <c r="G46">
        <v>2</v>
      </c>
      <c r="H46">
        <v>0</v>
      </c>
      <c r="I46">
        <v>0</v>
      </c>
      <c r="J46">
        <v>0</v>
      </c>
      <c r="K46">
        <v>6063.3</v>
      </c>
      <c r="L46">
        <v>6</v>
      </c>
      <c r="O46">
        <v>207</v>
      </c>
      <c r="P46">
        <v>650</v>
      </c>
      <c r="Q46" s="3">
        <f>P46*O46</f>
        <v>134550</v>
      </c>
    </row>
    <row r="47" spans="2:18" x14ac:dyDescent="0.2">
      <c r="B47" s="1" t="s">
        <v>136</v>
      </c>
      <c r="C47">
        <v>103448</v>
      </c>
      <c r="D47">
        <v>106778</v>
      </c>
      <c r="E47">
        <v>1.69</v>
      </c>
      <c r="F47" t="s">
        <v>138</v>
      </c>
      <c r="G47">
        <v>2</v>
      </c>
      <c r="H47">
        <v>0</v>
      </c>
      <c r="I47">
        <v>0</v>
      </c>
      <c r="J47">
        <v>0</v>
      </c>
      <c r="K47">
        <v>9378</v>
      </c>
      <c r="L47">
        <v>9</v>
      </c>
      <c r="O47">
        <v>180</v>
      </c>
      <c r="P47">
        <v>2000</v>
      </c>
      <c r="Q47" s="3">
        <f>P47*O47</f>
        <v>360000</v>
      </c>
    </row>
    <row r="48" spans="2:18" x14ac:dyDescent="0.2">
      <c r="C48">
        <v>106347</v>
      </c>
      <c r="D48">
        <v>103450</v>
      </c>
      <c r="E48">
        <v>2.82</v>
      </c>
      <c r="F48" t="s">
        <v>138</v>
      </c>
      <c r="G48">
        <v>2</v>
      </c>
      <c r="H48">
        <v>0</v>
      </c>
      <c r="I48">
        <v>0</v>
      </c>
      <c r="J48">
        <v>0</v>
      </c>
      <c r="K48">
        <v>9378</v>
      </c>
      <c r="L48">
        <v>9</v>
      </c>
      <c r="O48">
        <v>450</v>
      </c>
      <c r="P48">
        <v>3400</v>
      </c>
      <c r="Q48" s="3">
        <f>P48*O48</f>
        <v>1530000</v>
      </c>
    </row>
    <row r="49" spans="2:17" x14ac:dyDescent="0.2">
      <c r="B49" t="s">
        <v>137</v>
      </c>
      <c r="C49">
        <v>113035</v>
      </c>
      <c r="D49">
        <v>232173</v>
      </c>
      <c r="E49">
        <v>2.62</v>
      </c>
      <c r="F49" t="s">
        <v>138</v>
      </c>
      <c r="G49">
        <v>2</v>
      </c>
      <c r="H49">
        <v>0</v>
      </c>
      <c r="I49">
        <v>0</v>
      </c>
      <c r="J49">
        <v>0</v>
      </c>
      <c r="K49">
        <v>9378</v>
      </c>
      <c r="L49">
        <v>9</v>
      </c>
      <c r="O49">
        <v>400</v>
      </c>
      <c r="P49">
        <v>1700</v>
      </c>
      <c r="Q49" s="3">
        <f>P49*O49</f>
        <v>680000</v>
      </c>
    </row>
    <row r="50" spans="2:17" x14ac:dyDescent="0.2">
      <c r="B50" t="s">
        <v>137</v>
      </c>
      <c r="C50">
        <v>327505</v>
      </c>
      <c r="D50">
        <v>232173</v>
      </c>
      <c r="E50">
        <v>0.76</v>
      </c>
      <c r="F50" t="s">
        <v>138</v>
      </c>
      <c r="G50">
        <v>2</v>
      </c>
      <c r="H50">
        <v>0</v>
      </c>
      <c r="I50">
        <v>0</v>
      </c>
      <c r="J50">
        <v>0</v>
      </c>
      <c r="K50">
        <v>1655.7</v>
      </c>
      <c r="L50">
        <v>1</v>
      </c>
      <c r="P50">
        <f>SUM(P45:P49)</f>
        <v>10150</v>
      </c>
      <c r="Q50" s="3">
        <f>SUM(Q45:Q49)</f>
        <v>3448550</v>
      </c>
    </row>
    <row r="51" spans="2:17" x14ac:dyDescent="0.2">
      <c r="B51" t="s">
        <v>137</v>
      </c>
      <c r="C51">
        <v>232173</v>
      </c>
      <c r="D51">
        <v>232174</v>
      </c>
      <c r="E51">
        <v>0.04</v>
      </c>
      <c r="F51" t="s">
        <v>138</v>
      </c>
      <c r="G51">
        <v>2</v>
      </c>
      <c r="H51">
        <v>0</v>
      </c>
      <c r="I51">
        <v>0</v>
      </c>
      <c r="J51">
        <v>0</v>
      </c>
      <c r="K51">
        <v>9401.1</v>
      </c>
      <c r="L51">
        <v>9</v>
      </c>
      <c r="O51">
        <f>AVERAGE(O45:O49)</f>
        <v>309.39999999999998</v>
      </c>
      <c r="Q51">
        <f>Q50/P50</f>
        <v>339.75862068965517</v>
      </c>
    </row>
    <row r="52" spans="2:17" x14ac:dyDescent="0.2">
      <c r="B52" t="s">
        <v>137</v>
      </c>
      <c r="C52">
        <v>232174</v>
      </c>
      <c r="D52">
        <v>757462</v>
      </c>
      <c r="E52">
        <v>0.05</v>
      </c>
      <c r="F52" t="s">
        <v>138</v>
      </c>
      <c r="G52">
        <v>2</v>
      </c>
      <c r="H52">
        <v>0</v>
      </c>
      <c r="I52">
        <v>0</v>
      </c>
      <c r="J52">
        <v>0</v>
      </c>
      <c r="K52">
        <v>18891</v>
      </c>
      <c r="L52">
        <v>18</v>
      </c>
    </row>
    <row r="53" spans="2:17" x14ac:dyDescent="0.2">
      <c r="B53" t="s">
        <v>137</v>
      </c>
      <c r="C53">
        <v>757462</v>
      </c>
      <c r="D53">
        <v>327504</v>
      </c>
      <c r="E53">
        <v>0.08</v>
      </c>
      <c r="F53" t="s">
        <v>138</v>
      </c>
      <c r="G53">
        <v>2</v>
      </c>
      <c r="H53">
        <v>0</v>
      </c>
      <c r="I53">
        <v>0</v>
      </c>
      <c r="J53">
        <v>0</v>
      </c>
      <c r="K53">
        <v>18949</v>
      </c>
      <c r="L53">
        <v>18</v>
      </c>
      <c r="O53">
        <v>2580</v>
      </c>
      <c r="P53">
        <v>8</v>
      </c>
      <c r="Q53">
        <f>O53/P53</f>
        <v>322.5</v>
      </c>
    </row>
    <row r="54" spans="2:17" x14ac:dyDescent="0.2">
      <c r="O54">
        <v>860</v>
      </c>
      <c r="P54">
        <v>4</v>
      </c>
      <c r="Q54" s="3">
        <f>O54/P54</f>
        <v>215</v>
      </c>
    </row>
    <row r="55" spans="2:17" x14ac:dyDescent="0.2">
      <c r="C55">
        <v>1128</v>
      </c>
      <c r="D55">
        <v>38.994365000000002</v>
      </c>
      <c r="E55">
        <v>-77.027935999999997</v>
      </c>
      <c r="F55">
        <v>1</v>
      </c>
      <c r="G55">
        <v>0</v>
      </c>
    </row>
    <row r="56" spans="2:17" x14ac:dyDescent="0.2">
      <c r="C56">
        <v>1128</v>
      </c>
      <c r="D56">
        <v>38.994498999999998</v>
      </c>
      <c r="E56">
        <v>-77.027941999999996</v>
      </c>
      <c r="F56">
        <v>2</v>
      </c>
      <c r="G56">
        <v>9.2999999999999992E-3</v>
      </c>
      <c r="O56">
        <v>450</v>
      </c>
      <c r="P56" s="21" t="s">
        <v>172</v>
      </c>
    </row>
    <row r="57" spans="2:17" x14ac:dyDescent="0.2">
      <c r="C57">
        <v>1128</v>
      </c>
      <c r="D57">
        <v>38.994498999999998</v>
      </c>
      <c r="E57">
        <v>-77.027666999999994</v>
      </c>
      <c r="F57">
        <v>3</v>
      </c>
      <c r="G57">
        <v>2.41E-2</v>
      </c>
      <c r="O57" s="3">
        <v>450</v>
      </c>
      <c r="P57" s="3">
        <f>O57/60</f>
        <v>7.5</v>
      </c>
      <c r="Q57" s="1" t="s">
        <v>173</v>
      </c>
    </row>
    <row r="58" spans="2:17" x14ac:dyDescent="0.2">
      <c r="C58">
        <v>1128</v>
      </c>
      <c r="D58">
        <v>38.994669000000002</v>
      </c>
      <c r="E58">
        <v>-77.027664000000001</v>
      </c>
      <c r="F58">
        <v>4</v>
      </c>
      <c r="G58">
        <v>3.5799999999999998E-2</v>
      </c>
      <c r="N58" s="1" t="s">
        <v>175</v>
      </c>
      <c r="O58">
        <f>O56*3</f>
        <v>1350</v>
      </c>
      <c r="P58">
        <f>O58/60</f>
        <v>22.5</v>
      </c>
      <c r="Q58" s="1" t="s">
        <v>174</v>
      </c>
    </row>
    <row r="59" spans="2:17" x14ac:dyDescent="0.2">
      <c r="C59">
        <v>1128</v>
      </c>
      <c r="D59">
        <v>38.994498999999998</v>
      </c>
      <c r="E59">
        <v>-77.027941999999996</v>
      </c>
      <c r="F59">
        <v>5</v>
      </c>
      <c r="G59">
        <v>5.45E-2</v>
      </c>
      <c r="N59" s="1" t="s">
        <v>176</v>
      </c>
      <c r="O59">
        <v>3</v>
      </c>
      <c r="P59">
        <v>6</v>
      </c>
    </row>
    <row r="60" spans="2:17" x14ac:dyDescent="0.2">
      <c r="C60">
        <v>1128</v>
      </c>
      <c r="D60">
        <v>38.994506999999999</v>
      </c>
      <c r="E60">
        <v>-77.029139999999998</v>
      </c>
      <c r="F60">
        <v>6</v>
      </c>
      <c r="G60">
        <v>0.11890000000000001</v>
      </c>
      <c r="P60" s="1" t="s">
        <v>177</v>
      </c>
    </row>
    <row r="61" spans="2:17" x14ac:dyDescent="0.2">
      <c r="C61">
        <v>1128</v>
      </c>
      <c r="D61">
        <v>38.994529</v>
      </c>
      <c r="E61">
        <v>-77.029313000000002</v>
      </c>
      <c r="F61">
        <v>7</v>
      </c>
      <c r="G61">
        <v>0.12820000000000001</v>
      </c>
    </row>
    <row r="62" spans="2:17" x14ac:dyDescent="0.2">
      <c r="C62">
        <v>1128</v>
      </c>
      <c r="D62">
        <v>38.994590000000002</v>
      </c>
      <c r="E62">
        <v>-77.029522999999998</v>
      </c>
      <c r="F62">
        <v>8</v>
      </c>
      <c r="G62">
        <v>0.14019999999999999</v>
      </c>
      <c r="J62" s="1" t="s">
        <v>185</v>
      </c>
    </row>
    <row r="63" spans="2:17" x14ac:dyDescent="0.2">
      <c r="C63">
        <v>1128</v>
      </c>
      <c r="D63">
        <v>38.994779000000001</v>
      </c>
      <c r="E63">
        <v>-77.030163000000002</v>
      </c>
      <c r="F63">
        <v>9</v>
      </c>
      <c r="G63">
        <v>0.1769</v>
      </c>
      <c r="J63" s="1" t="s">
        <v>184</v>
      </c>
    </row>
    <row r="64" spans="2:17" x14ac:dyDescent="0.2">
      <c r="C64">
        <v>1128</v>
      </c>
      <c r="D64">
        <v>38.994365000000002</v>
      </c>
      <c r="E64">
        <v>-77.030887000000007</v>
      </c>
      <c r="F64">
        <v>10</v>
      </c>
      <c r="G64">
        <v>0.2248</v>
      </c>
      <c r="J64" s="1" t="s">
        <v>182</v>
      </c>
      <c r="K64" s="1" t="s">
        <v>0</v>
      </c>
      <c r="L64" s="1" t="s">
        <v>186</v>
      </c>
      <c r="M64" s="1" t="s">
        <v>183</v>
      </c>
    </row>
    <row r="65" spans="3:13" x14ac:dyDescent="0.2">
      <c r="C65">
        <v>1128</v>
      </c>
      <c r="D65">
        <v>38.994472000000002</v>
      </c>
      <c r="E65">
        <v>-77.030985000000001</v>
      </c>
      <c r="F65">
        <v>11</v>
      </c>
      <c r="G65">
        <v>0.2339</v>
      </c>
      <c r="I65" t="s">
        <v>137</v>
      </c>
      <c r="J65">
        <v>113757</v>
      </c>
      <c r="K65">
        <v>755300</v>
      </c>
      <c r="L65">
        <v>-1</v>
      </c>
      <c r="M65" s="3">
        <v>101</v>
      </c>
    </row>
    <row r="66" spans="3:13" x14ac:dyDescent="0.2">
      <c r="C66">
        <v>1128</v>
      </c>
      <c r="D66">
        <v>38.994079999999997</v>
      </c>
      <c r="E66">
        <v>-77.031391999999997</v>
      </c>
      <c r="F66">
        <v>12</v>
      </c>
      <c r="G66">
        <v>0.26840000000000003</v>
      </c>
      <c r="I66" t="s">
        <v>137</v>
      </c>
      <c r="J66">
        <v>113757</v>
      </c>
      <c r="K66">
        <v>757412</v>
      </c>
      <c r="L66" s="3">
        <v>-1</v>
      </c>
      <c r="M66" s="3">
        <v>101</v>
      </c>
    </row>
    <row r="67" spans="3:13" x14ac:dyDescent="0.2">
      <c r="C67">
        <v>1128</v>
      </c>
      <c r="D67">
        <v>38.993597999999999</v>
      </c>
      <c r="E67">
        <v>-77.032240999999999</v>
      </c>
      <c r="F67">
        <v>13</v>
      </c>
      <c r="G67">
        <v>0.32440000000000002</v>
      </c>
      <c r="I67" t="s">
        <v>137</v>
      </c>
      <c r="J67">
        <v>113758</v>
      </c>
      <c r="K67">
        <v>113759</v>
      </c>
      <c r="L67" s="3">
        <v>-1</v>
      </c>
      <c r="M67" s="3">
        <v>101</v>
      </c>
    </row>
    <row r="68" spans="3:13" x14ac:dyDescent="0.2">
      <c r="C68">
        <v>1128</v>
      </c>
      <c r="D68">
        <v>38.993929000000001</v>
      </c>
      <c r="E68">
        <v>-77.032610000000005</v>
      </c>
      <c r="F68">
        <v>14</v>
      </c>
      <c r="G68">
        <v>0.35470000000000002</v>
      </c>
      <c r="I68" t="s">
        <v>137</v>
      </c>
      <c r="J68">
        <v>113758</v>
      </c>
      <c r="K68">
        <v>757412</v>
      </c>
      <c r="L68" s="3">
        <v>-1</v>
      </c>
      <c r="M68" s="3">
        <v>101</v>
      </c>
    </row>
    <row r="69" spans="3:13" x14ac:dyDescent="0.2">
      <c r="C69">
        <v>1128</v>
      </c>
      <c r="D69">
        <v>38.994137000000002</v>
      </c>
      <c r="E69">
        <v>-77.032953000000006</v>
      </c>
      <c r="F69">
        <v>15</v>
      </c>
      <c r="G69">
        <v>0.37819999999999998</v>
      </c>
      <c r="I69" t="s">
        <v>137</v>
      </c>
      <c r="J69">
        <v>113759</v>
      </c>
      <c r="K69">
        <v>113758</v>
      </c>
      <c r="L69" s="3">
        <v>-1</v>
      </c>
      <c r="M69" s="3">
        <v>101</v>
      </c>
    </row>
    <row r="70" spans="3:13" x14ac:dyDescent="0.2">
      <c r="C70">
        <v>1128</v>
      </c>
      <c r="D70">
        <v>38.994239</v>
      </c>
      <c r="E70">
        <v>-77.033184000000006</v>
      </c>
      <c r="F70">
        <v>16</v>
      </c>
      <c r="G70">
        <v>0.39240000000000003</v>
      </c>
      <c r="I70" t="s">
        <v>137</v>
      </c>
      <c r="J70">
        <v>113759</v>
      </c>
      <c r="K70">
        <v>113762</v>
      </c>
      <c r="L70" s="3">
        <v>-1</v>
      </c>
      <c r="M70" s="3">
        <v>101</v>
      </c>
    </row>
    <row r="71" spans="3:13" x14ac:dyDescent="0.2">
      <c r="C71">
        <v>1128</v>
      </c>
      <c r="D71">
        <v>38.994315999999998</v>
      </c>
      <c r="E71">
        <v>-77.033126999999993</v>
      </c>
      <c r="F71">
        <v>17</v>
      </c>
      <c r="G71">
        <v>0.39850000000000002</v>
      </c>
      <c r="I71" t="s">
        <v>137</v>
      </c>
      <c r="J71">
        <v>113759</v>
      </c>
      <c r="K71">
        <v>118078</v>
      </c>
      <c r="L71" s="3">
        <v>-1</v>
      </c>
      <c r="M71" s="3">
        <v>101</v>
      </c>
    </row>
    <row r="72" spans="3:13" x14ac:dyDescent="0.2">
      <c r="C72">
        <v>1128</v>
      </c>
      <c r="D72">
        <v>38.994280000000003</v>
      </c>
      <c r="E72" s="3">
        <v>-77.033271999999997</v>
      </c>
      <c r="F72">
        <v>18</v>
      </c>
      <c r="G72">
        <v>0.40660000000000002</v>
      </c>
      <c r="I72" t="s">
        <v>137</v>
      </c>
      <c r="J72">
        <v>113762</v>
      </c>
      <c r="K72">
        <v>113763</v>
      </c>
      <c r="L72" s="3">
        <v>-1</v>
      </c>
      <c r="M72" s="3">
        <v>101</v>
      </c>
    </row>
    <row r="73" spans="3:13" x14ac:dyDescent="0.2">
      <c r="C73">
        <v>1128</v>
      </c>
      <c r="D73">
        <v>38.994368000000001</v>
      </c>
      <c r="E73" s="3">
        <v>-77.033552999999998</v>
      </c>
      <c r="F73">
        <v>19</v>
      </c>
      <c r="G73">
        <v>0.4229</v>
      </c>
      <c r="I73" t="s">
        <v>137</v>
      </c>
      <c r="J73">
        <v>113763</v>
      </c>
      <c r="K73">
        <v>113768</v>
      </c>
      <c r="L73" s="3">
        <v>-1</v>
      </c>
      <c r="M73" s="3">
        <v>101</v>
      </c>
    </row>
    <row r="74" spans="3:13" x14ac:dyDescent="0.2">
      <c r="C74">
        <v>1128</v>
      </c>
      <c r="D74">
        <v>38.994439</v>
      </c>
      <c r="E74" s="3">
        <v>-77.033851999999996</v>
      </c>
      <c r="F74">
        <v>20</v>
      </c>
      <c r="G74">
        <v>0.43959999999999999</v>
      </c>
      <c r="I74" t="s">
        <v>137</v>
      </c>
      <c r="J74">
        <v>113763</v>
      </c>
      <c r="K74">
        <v>756472</v>
      </c>
      <c r="L74" s="3">
        <v>-1</v>
      </c>
      <c r="M74" s="3">
        <v>101</v>
      </c>
    </row>
    <row r="75" spans="3:13" x14ac:dyDescent="0.2">
      <c r="C75">
        <v>1128</v>
      </c>
      <c r="D75">
        <v>38.994498999999998</v>
      </c>
      <c r="E75" s="3">
        <v>-77.034492999999998</v>
      </c>
      <c r="F75">
        <v>21</v>
      </c>
      <c r="G75">
        <v>0.47420000000000001</v>
      </c>
      <c r="I75" t="s">
        <v>137</v>
      </c>
      <c r="J75">
        <v>113768</v>
      </c>
      <c r="K75">
        <v>113763</v>
      </c>
      <c r="L75" s="3">
        <v>-1</v>
      </c>
      <c r="M75" s="3">
        <v>101</v>
      </c>
    </row>
    <row r="76" spans="3:13" x14ac:dyDescent="0.2">
      <c r="C76">
        <v>1128</v>
      </c>
      <c r="D76">
        <v>38.994490999999996</v>
      </c>
      <c r="E76" s="3">
        <v>-77.035053000000005</v>
      </c>
      <c r="F76">
        <v>22</v>
      </c>
      <c r="G76">
        <v>0.50439999999999996</v>
      </c>
      <c r="I76" t="s">
        <v>137</v>
      </c>
      <c r="J76">
        <v>113768</v>
      </c>
      <c r="K76">
        <v>755792</v>
      </c>
      <c r="L76" s="3">
        <v>-1</v>
      </c>
      <c r="M76" s="3">
        <v>101</v>
      </c>
    </row>
    <row r="77" spans="3:13" x14ac:dyDescent="0.2">
      <c r="C77">
        <v>1128</v>
      </c>
      <c r="D77">
        <v>38.994579000000002</v>
      </c>
      <c r="E77" s="3">
        <v>-77.035051999999993</v>
      </c>
      <c r="F77">
        <v>23</v>
      </c>
      <c r="G77">
        <v>0.51039999999999996</v>
      </c>
      <c r="I77" t="s">
        <v>137</v>
      </c>
      <c r="J77">
        <v>113768</v>
      </c>
      <c r="K77">
        <v>755794</v>
      </c>
      <c r="L77" s="3">
        <v>-1</v>
      </c>
      <c r="M77" s="3">
        <v>101</v>
      </c>
    </row>
    <row r="78" spans="3:13" x14ac:dyDescent="0.2">
      <c r="C78">
        <v>1128</v>
      </c>
      <c r="D78">
        <v>38.994487999999997</v>
      </c>
      <c r="E78" s="3">
        <v>-77.035281999999995</v>
      </c>
      <c r="F78">
        <v>24</v>
      </c>
      <c r="G78">
        <v>0.52410000000000001</v>
      </c>
      <c r="I78" t="s">
        <v>137</v>
      </c>
      <c r="J78">
        <v>113777</v>
      </c>
      <c r="K78">
        <v>755792</v>
      </c>
      <c r="L78" s="3">
        <v>-1</v>
      </c>
      <c r="M78" s="3">
        <v>101</v>
      </c>
    </row>
    <row r="79" spans="3:13" x14ac:dyDescent="0.2">
      <c r="C79">
        <v>1128</v>
      </c>
      <c r="D79">
        <v>38.994517999999999</v>
      </c>
      <c r="E79" s="3">
        <v>-77.036230000000003</v>
      </c>
      <c r="F79">
        <v>25</v>
      </c>
      <c r="G79">
        <v>0.57499999999999996</v>
      </c>
      <c r="I79" t="s">
        <v>137</v>
      </c>
      <c r="J79">
        <v>113777</v>
      </c>
      <c r="K79">
        <v>755793</v>
      </c>
      <c r="L79" s="3">
        <v>-1</v>
      </c>
      <c r="M79" s="3">
        <v>101</v>
      </c>
    </row>
    <row r="80" spans="3:13" x14ac:dyDescent="0.2">
      <c r="C80">
        <v>1128</v>
      </c>
      <c r="D80" s="3">
        <v>38.994517999999999</v>
      </c>
      <c r="E80" s="3">
        <v>-77.036349999999999</v>
      </c>
      <c r="F80">
        <v>26</v>
      </c>
      <c r="G80">
        <v>0.58140000000000003</v>
      </c>
      <c r="I80" t="s">
        <v>137</v>
      </c>
      <c r="J80">
        <v>113782</v>
      </c>
      <c r="K80">
        <v>113786</v>
      </c>
      <c r="L80" s="3">
        <v>-1</v>
      </c>
      <c r="M80" s="3">
        <v>101</v>
      </c>
    </row>
    <row r="81" spans="3:13" x14ac:dyDescent="0.2">
      <c r="C81">
        <v>1128</v>
      </c>
      <c r="D81" s="3">
        <v>38.994568000000001</v>
      </c>
      <c r="E81" s="3">
        <v>-77.036843000000005</v>
      </c>
      <c r="F81">
        <v>27</v>
      </c>
      <c r="G81">
        <v>0.60809999999999997</v>
      </c>
      <c r="I81" t="s">
        <v>137</v>
      </c>
      <c r="J81">
        <v>113782</v>
      </c>
      <c r="K81">
        <v>755793</v>
      </c>
      <c r="L81" s="3">
        <v>-1</v>
      </c>
      <c r="M81" s="3">
        <v>101</v>
      </c>
    </row>
    <row r="82" spans="3:13" x14ac:dyDescent="0.2">
      <c r="C82">
        <v>1128</v>
      </c>
      <c r="D82" s="3">
        <v>38.994608999999997</v>
      </c>
      <c r="E82" s="3">
        <v>-77.037023000000005</v>
      </c>
      <c r="F82">
        <v>28</v>
      </c>
      <c r="G82">
        <v>0.61819999999999997</v>
      </c>
      <c r="I82" t="s">
        <v>137</v>
      </c>
      <c r="J82">
        <v>113786</v>
      </c>
      <c r="K82">
        <v>113782</v>
      </c>
      <c r="L82" s="3">
        <v>-1</v>
      </c>
      <c r="M82" s="3">
        <v>101</v>
      </c>
    </row>
    <row r="83" spans="3:13" x14ac:dyDescent="0.2">
      <c r="C83">
        <v>1128</v>
      </c>
      <c r="D83" s="3">
        <v>38.994698999999997</v>
      </c>
      <c r="E83" s="3">
        <v>-77.037293000000005</v>
      </c>
      <c r="F83">
        <v>29</v>
      </c>
      <c r="G83">
        <v>0.63390000000000002</v>
      </c>
      <c r="I83" t="s">
        <v>137</v>
      </c>
      <c r="J83">
        <v>113786</v>
      </c>
      <c r="K83">
        <v>113787</v>
      </c>
      <c r="L83" s="3">
        <v>-1</v>
      </c>
      <c r="M83" s="3">
        <v>101</v>
      </c>
    </row>
    <row r="84" spans="3:13" x14ac:dyDescent="0.2">
      <c r="C84">
        <v>1128</v>
      </c>
      <c r="D84" s="3">
        <v>38.994869000000001</v>
      </c>
      <c r="E84" s="3">
        <v>-77.037643000000003</v>
      </c>
      <c r="F84">
        <v>30</v>
      </c>
      <c r="G84">
        <v>0.65610000000000002</v>
      </c>
      <c r="I84" t="s">
        <v>137</v>
      </c>
      <c r="J84">
        <v>113786</v>
      </c>
      <c r="K84">
        <v>231283</v>
      </c>
      <c r="L84" s="3">
        <v>-1</v>
      </c>
      <c r="M84" s="3">
        <v>101</v>
      </c>
    </row>
    <row r="85" spans="3:13" x14ac:dyDescent="0.2">
      <c r="C85">
        <v>1128</v>
      </c>
      <c r="D85" s="3">
        <v>38.995049999999999</v>
      </c>
      <c r="E85" s="3">
        <v>-77.037960999999996</v>
      </c>
      <c r="F85">
        <v>31</v>
      </c>
      <c r="G85">
        <v>0.67730000000000001</v>
      </c>
      <c r="I85" t="s">
        <v>137</v>
      </c>
      <c r="J85">
        <v>113787</v>
      </c>
      <c r="K85">
        <v>113786</v>
      </c>
      <c r="L85" s="3">
        <v>-1</v>
      </c>
      <c r="M85" s="3">
        <v>101</v>
      </c>
    </row>
    <row r="86" spans="3:13" x14ac:dyDescent="0.2">
      <c r="C86">
        <v>1128</v>
      </c>
      <c r="D86" s="3">
        <v>38.995249999999999</v>
      </c>
      <c r="E86" s="3">
        <v>-77.038269</v>
      </c>
      <c r="F86">
        <v>32</v>
      </c>
      <c r="G86">
        <v>0.69889999999999997</v>
      </c>
      <c r="I86" t="s">
        <v>137</v>
      </c>
      <c r="J86">
        <v>113787</v>
      </c>
      <c r="K86">
        <v>113789</v>
      </c>
      <c r="L86" s="3">
        <v>-1</v>
      </c>
      <c r="M86" s="3">
        <v>101</v>
      </c>
    </row>
    <row r="87" spans="3:13" x14ac:dyDescent="0.2">
      <c r="C87">
        <v>1128</v>
      </c>
      <c r="D87" s="3">
        <v>38.995308000000001</v>
      </c>
      <c r="E87" s="3">
        <v>-77.038207999999997</v>
      </c>
      <c r="F87">
        <v>33</v>
      </c>
      <c r="G87">
        <v>0.70399999999999996</v>
      </c>
      <c r="I87" t="s">
        <v>137</v>
      </c>
      <c r="J87">
        <v>113787</v>
      </c>
      <c r="K87">
        <v>231284</v>
      </c>
      <c r="L87" s="3">
        <v>-1</v>
      </c>
      <c r="M87" s="3">
        <v>101</v>
      </c>
    </row>
    <row r="88" spans="3:13" x14ac:dyDescent="0.2">
      <c r="C88">
        <v>1128</v>
      </c>
      <c r="D88" s="3">
        <v>38.995477000000001</v>
      </c>
      <c r="E88" s="3">
        <v>-77.038611000000003</v>
      </c>
      <c r="F88">
        <v>34</v>
      </c>
      <c r="G88">
        <v>0.72860000000000003</v>
      </c>
      <c r="I88" t="s">
        <v>137</v>
      </c>
      <c r="J88">
        <v>113789</v>
      </c>
      <c r="K88">
        <v>113787</v>
      </c>
      <c r="L88" s="3">
        <v>-1</v>
      </c>
      <c r="M88" s="3">
        <v>101</v>
      </c>
    </row>
    <row r="89" spans="3:13" x14ac:dyDescent="0.2">
      <c r="C89">
        <v>1128</v>
      </c>
      <c r="D89" s="3">
        <v>38.995708</v>
      </c>
      <c r="E89" s="3">
        <v>-77.038972000000001</v>
      </c>
      <c r="F89">
        <v>35</v>
      </c>
      <c r="G89">
        <v>0.75360000000000005</v>
      </c>
      <c r="I89" t="s">
        <v>137</v>
      </c>
      <c r="J89">
        <v>114248</v>
      </c>
      <c r="K89">
        <v>118078</v>
      </c>
      <c r="L89" s="3">
        <v>-1</v>
      </c>
      <c r="M89" s="3">
        <v>101</v>
      </c>
    </row>
    <row r="90" spans="3:13" x14ac:dyDescent="0.2">
      <c r="C90">
        <v>1128</v>
      </c>
      <c r="D90" s="3">
        <v>38.995899000000001</v>
      </c>
      <c r="E90" s="3">
        <v>-77.039299999999997</v>
      </c>
      <c r="F90">
        <v>36</v>
      </c>
      <c r="G90">
        <v>0.77580000000000005</v>
      </c>
      <c r="I90" t="s">
        <v>137</v>
      </c>
      <c r="J90">
        <v>114248</v>
      </c>
      <c r="K90">
        <v>755795</v>
      </c>
      <c r="L90" s="3">
        <v>-1</v>
      </c>
      <c r="M90" s="3">
        <v>101</v>
      </c>
    </row>
    <row r="91" spans="3:13" x14ac:dyDescent="0.2">
      <c r="C91">
        <v>1128</v>
      </c>
      <c r="D91" s="3">
        <v>38.996057999999998</v>
      </c>
      <c r="E91" s="3">
        <v>-77.039681999999999</v>
      </c>
      <c r="F91">
        <v>37</v>
      </c>
      <c r="G91">
        <v>0.79910000000000003</v>
      </c>
      <c r="I91" t="s">
        <v>137</v>
      </c>
      <c r="J91">
        <v>114311</v>
      </c>
      <c r="K91">
        <v>114315</v>
      </c>
      <c r="L91" s="3">
        <v>-1</v>
      </c>
      <c r="M91" s="3">
        <v>101</v>
      </c>
    </row>
    <row r="92" spans="3:13" x14ac:dyDescent="0.2">
      <c r="C92">
        <v>1128</v>
      </c>
      <c r="D92" s="3">
        <v>38.996130000000001</v>
      </c>
      <c r="E92" s="3">
        <v>-77.039941999999996</v>
      </c>
      <c r="F92">
        <v>38</v>
      </c>
      <c r="G92">
        <v>0.81379999999999997</v>
      </c>
      <c r="I92" t="s">
        <v>137</v>
      </c>
      <c r="J92">
        <v>114311</v>
      </c>
      <c r="K92">
        <v>231286</v>
      </c>
      <c r="L92" s="3">
        <v>-1</v>
      </c>
      <c r="M92" s="3">
        <v>101</v>
      </c>
    </row>
    <row r="93" spans="3:13" x14ac:dyDescent="0.2">
      <c r="C93">
        <v>1128</v>
      </c>
      <c r="D93" s="3">
        <v>38.996149000000003</v>
      </c>
      <c r="E93" s="3">
        <v>-77.040182000000001</v>
      </c>
      <c r="F93">
        <v>39</v>
      </c>
      <c r="G93">
        <v>0.82669999999999999</v>
      </c>
      <c r="I93" t="s">
        <v>137</v>
      </c>
      <c r="J93">
        <v>114315</v>
      </c>
      <c r="K93">
        <v>114311</v>
      </c>
      <c r="L93" s="3">
        <v>-1</v>
      </c>
      <c r="M93" s="3">
        <v>101</v>
      </c>
    </row>
    <row r="94" spans="3:13" x14ac:dyDescent="0.2">
      <c r="C94">
        <v>1128</v>
      </c>
      <c r="D94" s="3">
        <v>38.996160000000003</v>
      </c>
      <c r="E94" s="3">
        <v>-77.040362000000002</v>
      </c>
      <c r="F94">
        <v>40</v>
      </c>
      <c r="G94">
        <v>0.83640000000000003</v>
      </c>
      <c r="I94" t="s">
        <v>137</v>
      </c>
      <c r="J94">
        <v>114315</v>
      </c>
      <c r="K94">
        <v>114316</v>
      </c>
      <c r="L94" s="3">
        <v>-1</v>
      </c>
      <c r="M94" s="3">
        <v>101</v>
      </c>
    </row>
    <row r="95" spans="3:13" x14ac:dyDescent="0.2">
      <c r="C95">
        <v>1128</v>
      </c>
      <c r="D95" s="3">
        <v>38.996149000000003</v>
      </c>
      <c r="E95" s="3">
        <v>-77.040572999999995</v>
      </c>
      <c r="F95">
        <v>41</v>
      </c>
      <c r="G95">
        <v>0.84770000000000001</v>
      </c>
      <c r="I95" t="s">
        <v>137</v>
      </c>
      <c r="J95">
        <v>114316</v>
      </c>
      <c r="K95">
        <v>114315</v>
      </c>
      <c r="L95" s="3">
        <v>-1</v>
      </c>
      <c r="M95" s="3">
        <v>101</v>
      </c>
    </row>
    <row r="96" spans="3:13" x14ac:dyDescent="0.2">
      <c r="C96">
        <v>1128</v>
      </c>
      <c r="D96" s="3">
        <v>38.996124000000002</v>
      </c>
      <c r="E96" s="3">
        <v>-77.040739000000002</v>
      </c>
      <c r="F96">
        <v>42</v>
      </c>
      <c r="G96">
        <v>0.85660000000000003</v>
      </c>
      <c r="I96" t="s">
        <v>137</v>
      </c>
      <c r="J96">
        <v>114316</v>
      </c>
      <c r="K96">
        <v>114317</v>
      </c>
      <c r="L96" s="3">
        <v>-1</v>
      </c>
      <c r="M96" s="3">
        <v>101</v>
      </c>
    </row>
    <row r="97" spans="3:13" x14ac:dyDescent="0.2">
      <c r="C97">
        <v>1128</v>
      </c>
      <c r="D97" s="3">
        <v>38.996172999999999</v>
      </c>
      <c r="E97" s="3">
        <v>-77.040749000000005</v>
      </c>
      <c r="F97">
        <v>43</v>
      </c>
      <c r="G97">
        <v>0.86</v>
      </c>
      <c r="I97" t="s">
        <v>137</v>
      </c>
      <c r="J97">
        <v>114317</v>
      </c>
      <c r="K97">
        <v>114316</v>
      </c>
      <c r="L97" s="3">
        <v>-1</v>
      </c>
      <c r="M97" s="3">
        <v>101</v>
      </c>
    </row>
    <row r="98" spans="3:13" x14ac:dyDescent="0.2">
      <c r="C98">
        <v>1128</v>
      </c>
      <c r="D98" s="3">
        <v>38.996108</v>
      </c>
      <c r="E98" s="3">
        <v>-77.040852000000001</v>
      </c>
      <c r="F98">
        <v>44</v>
      </c>
      <c r="G98">
        <v>0.86699999999999999</v>
      </c>
      <c r="I98" t="s">
        <v>137</v>
      </c>
      <c r="J98">
        <v>114317</v>
      </c>
      <c r="K98">
        <v>755668</v>
      </c>
      <c r="L98" s="3">
        <v>-1</v>
      </c>
      <c r="M98" s="3">
        <v>101</v>
      </c>
    </row>
    <row r="99" spans="3:13" x14ac:dyDescent="0.2">
      <c r="C99">
        <v>1128</v>
      </c>
      <c r="D99" s="3">
        <v>38.996017000000002</v>
      </c>
      <c r="E99" s="3">
        <v>-77.041143000000005</v>
      </c>
      <c r="F99">
        <v>45</v>
      </c>
      <c r="G99">
        <v>0.88370000000000004</v>
      </c>
      <c r="I99" t="s">
        <v>137</v>
      </c>
      <c r="J99">
        <v>114318</v>
      </c>
      <c r="K99">
        <v>114322</v>
      </c>
      <c r="L99" s="3">
        <v>-1</v>
      </c>
      <c r="M99" s="3">
        <v>101</v>
      </c>
    </row>
    <row r="100" spans="3:13" x14ac:dyDescent="0.2">
      <c r="C100">
        <v>1128</v>
      </c>
      <c r="D100" s="3">
        <v>38.995838999999997</v>
      </c>
      <c r="E100" s="3">
        <v>-77.041572000000002</v>
      </c>
      <c r="F100">
        <v>46</v>
      </c>
      <c r="G100">
        <v>0.90969999999999995</v>
      </c>
      <c r="I100" t="s">
        <v>137</v>
      </c>
      <c r="J100">
        <v>114318</v>
      </c>
      <c r="K100">
        <v>114350</v>
      </c>
      <c r="L100" s="3">
        <v>-1</v>
      </c>
      <c r="M100" s="3">
        <v>101</v>
      </c>
    </row>
    <row r="101" spans="3:13" x14ac:dyDescent="0.2">
      <c r="C101">
        <v>1128</v>
      </c>
      <c r="D101" s="3">
        <v>38.995593</v>
      </c>
      <c r="E101" s="3">
        <v>-77.042047999999994</v>
      </c>
      <c r="F101">
        <v>47</v>
      </c>
      <c r="G101">
        <v>0.94020000000000004</v>
      </c>
      <c r="I101" t="s">
        <v>137</v>
      </c>
      <c r="J101">
        <v>114318</v>
      </c>
      <c r="K101">
        <v>755668</v>
      </c>
      <c r="L101" s="3">
        <v>-1</v>
      </c>
      <c r="M101" s="3">
        <v>101</v>
      </c>
    </row>
    <row r="102" spans="3:13" x14ac:dyDescent="0.2">
      <c r="C102">
        <v>1128</v>
      </c>
      <c r="D102" s="3">
        <v>38.995671999999999</v>
      </c>
      <c r="E102" s="3">
        <v>-77.042113999999998</v>
      </c>
      <c r="F102">
        <v>48</v>
      </c>
      <c r="G102">
        <v>0.9466</v>
      </c>
      <c r="I102" t="s">
        <v>137</v>
      </c>
      <c r="J102">
        <v>114322</v>
      </c>
      <c r="K102">
        <v>114349</v>
      </c>
      <c r="L102" s="3">
        <v>-1</v>
      </c>
      <c r="M102" s="3">
        <v>101</v>
      </c>
    </row>
    <row r="103" spans="3:13" x14ac:dyDescent="0.2">
      <c r="C103">
        <v>1128</v>
      </c>
      <c r="D103" s="3">
        <v>38.995519000000002</v>
      </c>
      <c r="E103" s="3">
        <v>-77.042192999999997</v>
      </c>
      <c r="F103">
        <v>49</v>
      </c>
      <c r="G103">
        <v>0.95799999999999996</v>
      </c>
      <c r="I103" t="s">
        <v>137</v>
      </c>
      <c r="J103">
        <v>114349</v>
      </c>
      <c r="K103">
        <v>114350</v>
      </c>
      <c r="L103" s="3">
        <v>-1</v>
      </c>
      <c r="M103" s="3">
        <v>101</v>
      </c>
    </row>
    <row r="104" spans="3:13" x14ac:dyDescent="0.2">
      <c r="C104">
        <v>1128</v>
      </c>
      <c r="D104" s="3">
        <v>38.994906999999998</v>
      </c>
      <c r="E104" s="3">
        <v>-77.043411000000006</v>
      </c>
      <c r="F104">
        <v>50</v>
      </c>
      <c r="G104">
        <v>1.0354000000000001</v>
      </c>
      <c r="I104" t="s">
        <v>137</v>
      </c>
      <c r="J104">
        <v>114349</v>
      </c>
      <c r="K104">
        <v>755655</v>
      </c>
      <c r="L104" s="3">
        <v>-1</v>
      </c>
      <c r="M104" s="3">
        <v>101</v>
      </c>
    </row>
    <row r="105" spans="3:13" x14ac:dyDescent="0.2">
      <c r="C105">
        <v>1128</v>
      </c>
      <c r="D105" s="3">
        <v>38.994827999999998</v>
      </c>
      <c r="E105" s="3">
        <v>-77.043581000000003</v>
      </c>
      <c r="F105">
        <v>51</v>
      </c>
      <c r="G105">
        <v>1.046</v>
      </c>
      <c r="I105" t="s">
        <v>137</v>
      </c>
      <c r="J105">
        <v>114350</v>
      </c>
      <c r="K105">
        <v>114318</v>
      </c>
      <c r="L105" s="3">
        <v>-1</v>
      </c>
      <c r="M105" s="3">
        <v>101</v>
      </c>
    </row>
    <row r="106" spans="3:13" x14ac:dyDescent="0.2">
      <c r="C106">
        <v>1128</v>
      </c>
      <c r="D106" s="3">
        <v>38.994768000000001</v>
      </c>
      <c r="E106" s="3">
        <v>-77.043783000000005</v>
      </c>
      <c r="F106">
        <v>52</v>
      </c>
      <c r="G106">
        <v>1.0576000000000001</v>
      </c>
      <c r="I106" t="s">
        <v>137</v>
      </c>
      <c r="J106">
        <v>118078</v>
      </c>
      <c r="K106">
        <v>113759</v>
      </c>
      <c r="L106" s="3">
        <v>-1</v>
      </c>
      <c r="M106" s="3">
        <v>101</v>
      </c>
    </row>
    <row r="107" spans="3:13" x14ac:dyDescent="0.2">
      <c r="C107">
        <v>1128</v>
      </c>
      <c r="D107" s="3">
        <v>38.994737999999998</v>
      </c>
      <c r="E107" s="3">
        <v>-77.043970000000002</v>
      </c>
      <c r="F107">
        <v>53</v>
      </c>
      <c r="G107">
        <v>1.0678000000000001</v>
      </c>
      <c r="I107" t="s">
        <v>137</v>
      </c>
      <c r="J107">
        <v>118078</v>
      </c>
      <c r="K107">
        <v>114248</v>
      </c>
      <c r="L107" s="3">
        <v>-1</v>
      </c>
      <c r="M107" s="3">
        <v>101</v>
      </c>
    </row>
    <row r="108" spans="3:13" x14ac:dyDescent="0.2">
      <c r="C108">
        <v>1128</v>
      </c>
      <c r="D108" s="3">
        <v>38.994706999999998</v>
      </c>
      <c r="E108" s="3">
        <v>-77.044341000000003</v>
      </c>
      <c r="F108">
        <v>54</v>
      </c>
      <c r="G108">
        <v>1.0876999999999999</v>
      </c>
      <c r="I108" t="s">
        <v>137</v>
      </c>
      <c r="J108">
        <v>118080</v>
      </c>
      <c r="K108">
        <v>755655</v>
      </c>
      <c r="L108" s="3">
        <v>-1</v>
      </c>
      <c r="M108" s="3">
        <v>101</v>
      </c>
    </row>
    <row r="109" spans="3:13" x14ac:dyDescent="0.2">
      <c r="C109">
        <v>1128</v>
      </c>
      <c r="D109" s="3">
        <v>38.994729</v>
      </c>
      <c r="E109" s="3">
        <v>-77.044601</v>
      </c>
      <c r="F109">
        <v>55</v>
      </c>
      <c r="G109">
        <v>1.1016999999999999</v>
      </c>
      <c r="I109" t="s">
        <v>137</v>
      </c>
      <c r="J109">
        <v>118080</v>
      </c>
      <c r="K109">
        <v>757460</v>
      </c>
      <c r="L109" s="3">
        <v>-1</v>
      </c>
      <c r="M109" s="3">
        <v>101</v>
      </c>
    </row>
    <row r="110" spans="3:13" x14ac:dyDescent="0.2">
      <c r="C110">
        <v>1128</v>
      </c>
      <c r="D110" s="3">
        <v>38.994888000000003</v>
      </c>
      <c r="E110" s="3">
        <v>-77.045332999999999</v>
      </c>
      <c r="F110">
        <v>56</v>
      </c>
      <c r="G110">
        <v>1.1424000000000001</v>
      </c>
      <c r="I110" t="s">
        <v>137</v>
      </c>
      <c r="J110">
        <v>231275</v>
      </c>
      <c r="K110">
        <v>756632</v>
      </c>
      <c r="L110" s="3">
        <v>-1</v>
      </c>
      <c r="M110" s="3">
        <v>101</v>
      </c>
    </row>
    <row r="111" spans="3:13" x14ac:dyDescent="0.2">
      <c r="C111">
        <v>1128</v>
      </c>
      <c r="D111" s="3">
        <v>38.994968</v>
      </c>
      <c r="E111" s="3">
        <v>-77.045303000000004</v>
      </c>
      <c r="F111">
        <v>57</v>
      </c>
      <c r="G111">
        <v>1.1480999999999999</v>
      </c>
      <c r="I111" t="s">
        <v>137</v>
      </c>
      <c r="J111">
        <v>231275</v>
      </c>
      <c r="K111">
        <v>756633</v>
      </c>
      <c r="L111" s="3">
        <v>-1</v>
      </c>
      <c r="M111" s="3">
        <v>101</v>
      </c>
    </row>
    <row r="112" spans="3:13" x14ac:dyDescent="0.2">
      <c r="C112">
        <v>1128</v>
      </c>
      <c r="D112" s="3">
        <v>38.994937999999998</v>
      </c>
      <c r="E112" s="3">
        <v>-77.045544000000007</v>
      </c>
      <c r="F112">
        <v>58</v>
      </c>
      <c r="G112">
        <v>1.161</v>
      </c>
      <c r="I112" t="s">
        <v>137</v>
      </c>
      <c r="J112">
        <v>231277</v>
      </c>
      <c r="K112">
        <v>756633</v>
      </c>
      <c r="L112" s="3">
        <v>-1</v>
      </c>
      <c r="M112" s="3">
        <v>101</v>
      </c>
    </row>
    <row r="113" spans="3:13" x14ac:dyDescent="0.2">
      <c r="C113">
        <v>1128</v>
      </c>
      <c r="D113" s="3">
        <v>38.995190000000001</v>
      </c>
      <c r="E113" s="3">
        <v>-77.046661</v>
      </c>
      <c r="F113">
        <v>59</v>
      </c>
      <c r="G113">
        <v>1.2237</v>
      </c>
      <c r="I113" t="s">
        <v>137</v>
      </c>
      <c r="J113">
        <v>231277</v>
      </c>
      <c r="K113">
        <v>757341</v>
      </c>
      <c r="L113" s="3">
        <v>-1</v>
      </c>
      <c r="M113" s="3">
        <v>101</v>
      </c>
    </row>
    <row r="114" spans="3:13" x14ac:dyDescent="0.2">
      <c r="C114">
        <v>1128</v>
      </c>
      <c r="D114" s="3">
        <v>38.995246999999999</v>
      </c>
      <c r="E114" s="3">
        <v>-77.047031000000004</v>
      </c>
      <c r="F114">
        <v>60</v>
      </c>
      <c r="G114">
        <v>1.2439</v>
      </c>
      <c r="I114" t="s">
        <v>137</v>
      </c>
      <c r="J114">
        <v>231283</v>
      </c>
      <c r="K114">
        <v>113786</v>
      </c>
      <c r="L114" s="3">
        <v>-1</v>
      </c>
      <c r="M114" s="3">
        <v>101</v>
      </c>
    </row>
    <row r="115" spans="3:13" x14ac:dyDescent="0.2">
      <c r="C115">
        <v>1128</v>
      </c>
      <c r="D115" s="3">
        <v>38.995277000000002</v>
      </c>
      <c r="E115" s="3">
        <v>-77.047410999999997</v>
      </c>
      <c r="F115">
        <v>61</v>
      </c>
      <c r="G115">
        <v>1.2644</v>
      </c>
      <c r="I115" t="s">
        <v>137</v>
      </c>
      <c r="J115">
        <v>231283</v>
      </c>
      <c r="K115">
        <v>757342</v>
      </c>
      <c r="L115" s="3">
        <v>-1</v>
      </c>
      <c r="M115" s="3">
        <v>101</v>
      </c>
    </row>
    <row r="116" spans="3:13" x14ac:dyDescent="0.2">
      <c r="C116">
        <v>1128</v>
      </c>
      <c r="D116" s="3">
        <v>38.995277000000002</v>
      </c>
      <c r="E116" s="3">
        <v>-77.047781000000001</v>
      </c>
      <c r="F116">
        <v>62</v>
      </c>
      <c r="G116">
        <v>1.2843</v>
      </c>
      <c r="I116" t="s">
        <v>137</v>
      </c>
      <c r="J116">
        <v>231284</v>
      </c>
      <c r="K116">
        <v>113789</v>
      </c>
      <c r="L116" s="3">
        <v>-1</v>
      </c>
      <c r="M116" s="3">
        <v>101</v>
      </c>
    </row>
    <row r="117" spans="3:13" x14ac:dyDescent="0.2">
      <c r="C117">
        <v>1128</v>
      </c>
      <c r="D117" s="3">
        <v>38.995258</v>
      </c>
      <c r="E117" s="3">
        <v>-77.048119999999997</v>
      </c>
      <c r="F117">
        <v>63</v>
      </c>
      <c r="G117">
        <v>1.3025</v>
      </c>
      <c r="I117" t="s">
        <v>137</v>
      </c>
      <c r="J117">
        <v>231286</v>
      </c>
      <c r="K117">
        <v>114311</v>
      </c>
      <c r="L117" s="3">
        <v>-1</v>
      </c>
      <c r="M117" s="3">
        <v>101</v>
      </c>
    </row>
    <row r="118" spans="3:13" x14ac:dyDescent="0.2">
      <c r="C118">
        <v>1128</v>
      </c>
      <c r="D118" s="3">
        <v>38.995159999999998</v>
      </c>
      <c r="E118" s="3">
        <v>-77.048970999999995</v>
      </c>
      <c r="F118">
        <v>64</v>
      </c>
      <c r="G118">
        <v>1.3485</v>
      </c>
      <c r="I118" t="s">
        <v>137</v>
      </c>
      <c r="J118">
        <v>231286</v>
      </c>
      <c r="K118">
        <v>757460</v>
      </c>
      <c r="L118" s="3">
        <v>-1</v>
      </c>
      <c r="M118" s="3">
        <v>101</v>
      </c>
    </row>
    <row r="119" spans="3:13" x14ac:dyDescent="0.2">
      <c r="C119">
        <v>1128</v>
      </c>
      <c r="D119" s="3">
        <v>38.995058</v>
      </c>
      <c r="E119" s="3">
        <v>-77.049632000000003</v>
      </c>
      <c r="F119">
        <v>65</v>
      </c>
      <c r="G119">
        <v>1.3845000000000001</v>
      </c>
      <c r="I119" t="s">
        <v>137</v>
      </c>
      <c r="J119">
        <v>755300</v>
      </c>
      <c r="K119">
        <v>113757</v>
      </c>
      <c r="L119" s="3">
        <v>-1</v>
      </c>
      <c r="M119" s="3">
        <v>101</v>
      </c>
    </row>
    <row r="120" spans="3:13" x14ac:dyDescent="0.2">
      <c r="C120">
        <v>1128</v>
      </c>
      <c r="D120" s="3">
        <v>38.994979000000001</v>
      </c>
      <c r="E120" s="3">
        <v>-77.049949999999995</v>
      </c>
      <c r="F120">
        <v>66</v>
      </c>
      <c r="G120">
        <v>1.4023000000000001</v>
      </c>
      <c r="I120" t="s">
        <v>137</v>
      </c>
      <c r="J120">
        <v>755300</v>
      </c>
      <c r="K120">
        <v>755301</v>
      </c>
      <c r="L120" s="3">
        <v>-1</v>
      </c>
      <c r="M120" s="3">
        <v>101</v>
      </c>
    </row>
    <row r="121" spans="3:13" x14ac:dyDescent="0.2">
      <c r="C121">
        <v>1128</v>
      </c>
      <c r="D121" s="3">
        <v>38.994898999999997</v>
      </c>
      <c r="E121" s="3">
        <v>-77.050179999999997</v>
      </c>
      <c r="F121">
        <v>67</v>
      </c>
      <c r="G121">
        <v>1.4157</v>
      </c>
      <c r="I121" t="s">
        <v>137</v>
      </c>
      <c r="J121">
        <v>755301</v>
      </c>
      <c r="K121">
        <v>755300</v>
      </c>
      <c r="L121" s="3">
        <v>-1</v>
      </c>
      <c r="M121" s="3">
        <v>101</v>
      </c>
    </row>
    <row r="122" spans="3:13" x14ac:dyDescent="0.2">
      <c r="C122">
        <v>1128</v>
      </c>
      <c r="D122" s="3">
        <v>38.994779000000001</v>
      </c>
      <c r="E122" s="3">
        <v>-77.050410999999997</v>
      </c>
      <c r="F122">
        <v>68</v>
      </c>
      <c r="G122">
        <v>1.4305000000000001</v>
      </c>
      <c r="I122" t="s">
        <v>137</v>
      </c>
      <c r="J122">
        <v>755655</v>
      </c>
      <c r="K122">
        <v>114349</v>
      </c>
      <c r="L122" s="3">
        <v>-1</v>
      </c>
      <c r="M122" s="3">
        <v>101</v>
      </c>
    </row>
    <row r="123" spans="3:13" x14ac:dyDescent="0.2">
      <c r="C123">
        <v>1128</v>
      </c>
      <c r="D123" s="3">
        <v>38.994669000000002</v>
      </c>
      <c r="E123" s="3">
        <v>-77.050593000000006</v>
      </c>
      <c r="F123">
        <v>69</v>
      </c>
      <c r="G123">
        <v>1.4426000000000001</v>
      </c>
      <c r="I123" t="s">
        <v>137</v>
      </c>
      <c r="J123">
        <v>755655</v>
      </c>
      <c r="K123">
        <v>118080</v>
      </c>
      <c r="L123" s="3">
        <v>-1</v>
      </c>
      <c r="M123" s="3">
        <v>101</v>
      </c>
    </row>
    <row r="124" spans="3:13" x14ac:dyDescent="0.2">
      <c r="C124">
        <v>1128</v>
      </c>
      <c r="D124" s="3">
        <v>38.994439</v>
      </c>
      <c r="E124" s="3">
        <v>-77.050931000000006</v>
      </c>
      <c r="F124">
        <v>70</v>
      </c>
      <c r="G124">
        <v>1.4664999999999999</v>
      </c>
      <c r="I124" t="s">
        <v>137</v>
      </c>
      <c r="J124">
        <v>755668</v>
      </c>
      <c r="K124">
        <v>114317</v>
      </c>
      <c r="L124" s="3">
        <v>-1</v>
      </c>
      <c r="M124" s="3">
        <v>101</v>
      </c>
    </row>
    <row r="125" spans="3:13" x14ac:dyDescent="0.2">
      <c r="C125">
        <v>1128</v>
      </c>
      <c r="D125" s="3">
        <v>38.994058000000003</v>
      </c>
      <c r="E125" s="3">
        <v>-77.051461000000003</v>
      </c>
      <c r="F125">
        <v>71</v>
      </c>
      <c r="G125">
        <v>1.5048999999999999</v>
      </c>
      <c r="I125" t="s">
        <v>137</v>
      </c>
      <c r="J125">
        <v>755668</v>
      </c>
      <c r="K125">
        <v>114318</v>
      </c>
      <c r="L125" s="3">
        <v>-1</v>
      </c>
      <c r="M125" s="3">
        <v>101</v>
      </c>
    </row>
    <row r="126" spans="3:13" x14ac:dyDescent="0.2">
      <c r="C126">
        <v>1128</v>
      </c>
      <c r="D126">
        <v>38.993926000000002</v>
      </c>
      <c r="E126">
        <v>-77.051666999999995</v>
      </c>
      <c r="F126">
        <v>72</v>
      </c>
      <c r="G126">
        <v>1.5190999999999999</v>
      </c>
      <c r="I126" t="s">
        <v>137</v>
      </c>
      <c r="J126">
        <v>755791</v>
      </c>
      <c r="K126">
        <v>755794</v>
      </c>
      <c r="L126" s="3">
        <v>-1</v>
      </c>
      <c r="M126" s="3">
        <v>101</v>
      </c>
    </row>
    <row r="127" spans="3:13" x14ac:dyDescent="0.2">
      <c r="C127">
        <v>1128</v>
      </c>
      <c r="D127">
        <v>38.993948000000003</v>
      </c>
      <c r="E127">
        <v>-77.051685000000006</v>
      </c>
      <c r="F127">
        <v>73</v>
      </c>
      <c r="G127">
        <v>1.5207999999999999</v>
      </c>
      <c r="I127" t="s">
        <v>137</v>
      </c>
      <c r="J127">
        <v>755791</v>
      </c>
      <c r="K127">
        <v>755795</v>
      </c>
      <c r="L127" s="3">
        <v>-1</v>
      </c>
      <c r="M127" s="3">
        <v>101</v>
      </c>
    </row>
    <row r="128" spans="3:13" x14ac:dyDescent="0.2">
      <c r="C128">
        <v>1128</v>
      </c>
      <c r="D128">
        <v>38.993758999999997</v>
      </c>
      <c r="E128">
        <v>-77.051929999999999</v>
      </c>
      <c r="F128">
        <v>74</v>
      </c>
      <c r="G128">
        <v>1.5391999999999999</v>
      </c>
      <c r="I128" t="s">
        <v>137</v>
      </c>
      <c r="J128">
        <v>755792</v>
      </c>
      <c r="K128">
        <v>113768</v>
      </c>
      <c r="L128" s="3">
        <v>-1</v>
      </c>
      <c r="M128" s="3">
        <v>101</v>
      </c>
    </row>
    <row r="129" spans="3:13" x14ac:dyDescent="0.2">
      <c r="C129">
        <v>1128</v>
      </c>
      <c r="D129">
        <v>38.993783999999998</v>
      </c>
      <c r="E129">
        <v>-77.051964999999996</v>
      </c>
      <c r="F129">
        <v>75</v>
      </c>
      <c r="G129">
        <v>1.5417000000000001</v>
      </c>
      <c r="I129" t="s">
        <v>137</v>
      </c>
      <c r="J129">
        <v>755792</v>
      </c>
      <c r="K129">
        <v>113777</v>
      </c>
      <c r="L129" s="3">
        <v>-1</v>
      </c>
      <c r="M129" s="3">
        <v>101</v>
      </c>
    </row>
    <row r="130" spans="3:13" x14ac:dyDescent="0.2">
      <c r="C130">
        <v>1128</v>
      </c>
      <c r="D130">
        <v>38.993758999999997</v>
      </c>
      <c r="E130">
        <v>-77.051929999999999</v>
      </c>
      <c r="F130">
        <v>76</v>
      </c>
      <c r="G130">
        <v>1.5441</v>
      </c>
      <c r="I130" t="s">
        <v>137</v>
      </c>
      <c r="J130">
        <v>755793</v>
      </c>
      <c r="K130">
        <v>113777</v>
      </c>
      <c r="L130" s="3">
        <v>-1</v>
      </c>
      <c r="M130" s="3">
        <v>101</v>
      </c>
    </row>
    <row r="131" spans="3:13" x14ac:dyDescent="0.2">
      <c r="C131">
        <v>1128</v>
      </c>
      <c r="D131">
        <v>38.993639000000002</v>
      </c>
      <c r="E131">
        <v>-77.052193000000003</v>
      </c>
      <c r="F131">
        <v>77</v>
      </c>
      <c r="G131">
        <v>1.5604</v>
      </c>
      <c r="I131" t="s">
        <v>137</v>
      </c>
      <c r="J131">
        <v>755793</v>
      </c>
      <c r="K131">
        <v>113782</v>
      </c>
      <c r="L131" s="3">
        <v>-1</v>
      </c>
      <c r="M131" s="3">
        <v>101</v>
      </c>
    </row>
    <row r="132" spans="3:13" x14ac:dyDescent="0.2">
      <c r="C132">
        <v>1128</v>
      </c>
      <c r="D132">
        <v>38.993228000000002</v>
      </c>
      <c r="E132">
        <v>-77.053291000000002</v>
      </c>
      <c r="F132">
        <v>78</v>
      </c>
      <c r="G132">
        <v>1.6255999999999999</v>
      </c>
      <c r="I132" t="s">
        <v>137</v>
      </c>
      <c r="J132">
        <v>755794</v>
      </c>
      <c r="K132">
        <v>113768</v>
      </c>
      <c r="L132" s="3">
        <v>-1</v>
      </c>
      <c r="M132" s="3">
        <v>101</v>
      </c>
    </row>
    <row r="133" spans="3:13" x14ac:dyDescent="0.2">
      <c r="C133">
        <v>1128</v>
      </c>
      <c r="D133">
        <v>38.992818999999997</v>
      </c>
      <c r="E133">
        <v>-77.054443000000006</v>
      </c>
      <c r="F133">
        <v>79</v>
      </c>
      <c r="G133">
        <v>1.6932</v>
      </c>
      <c r="I133" t="s">
        <v>137</v>
      </c>
      <c r="J133">
        <v>755794</v>
      </c>
      <c r="K133">
        <v>755791</v>
      </c>
      <c r="L133" s="3">
        <v>-1</v>
      </c>
      <c r="M133" s="3">
        <v>101</v>
      </c>
    </row>
    <row r="134" spans="3:13" x14ac:dyDescent="0.2">
      <c r="C134">
        <v>1128</v>
      </c>
      <c r="D134">
        <v>38.992638999999997</v>
      </c>
      <c r="E134">
        <v>-77.054991999999999</v>
      </c>
      <c r="F134">
        <v>80</v>
      </c>
      <c r="G134">
        <v>1.7250000000000001</v>
      </c>
      <c r="I134" t="s">
        <v>137</v>
      </c>
      <c r="J134">
        <v>755795</v>
      </c>
      <c r="K134">
        <v>114248</v>
      </c>
      <c r="L134" s="3">
        <v>-1</v>
      </c>
      <c r="M134" s="3">
        <v>101</v>
      </c>
    </row>
    <row r="135" spans="3:13" x14ac:dyDescent="0.2">
      <c r="C135">
        <v>1128</v>
      </c>
      <c r="D135">
        <v>38.992567000000001</v>
      </c>
      <c r="E135">
        <v>-77.055289000000002</v>
      </c>
      <c r="F135">
        <v>81</v>
      </c>
      <c r="G135">
        <v>1.7415</v>
      </c>
      <c r="I135" t="s">
        <v>137</v>
      </c>
      <c r="J135">
        <v>755795</v>
      </c>
      <c r="K135">
        <v>755791</v>
      </c>
      <c r="L135" s="3">
        <v>-1</v>
      </c>
      <c r="M135" s="3">
        <v>101</v>
      </c>
    </row>
    <row r="136" spans="3:13" x14ac:dyDescent="0.2">
      <c r="C136">
        <v>1128</v>
      </c>
      <c r="D136">
        <v>38.992584000000001</v>
      </c>
      <c r="E136">
        <v>-77.055291999999994</v>
      </c>
      <c r="F136">
        <v>82</v>
      </c>
      <c r="G136">
        <v>1.7425999999999999</v>
      </c>
      <c r="I136" t="s">
        <v>137</v>
      </c>
      <c r="J136">
        <v>756467</v>
      </c>
      <c r="K136">
        <v>113757</v>
      </c>
      <c r="L136" s="3">
        <v>-1</v>
      </c>
      <c r="M136" s="3">
        <v>101</v>
      </c>
    </row>
    <row r="137" spans="3:13" x14ac:dyDescent="0.2">
      <c r="C137">
        <v>1128</v>
      </c>
      <c r="D137">
        <v>38.992510000000003</v>
      </c>
      <c r="E137">
        <v>-77.055543</v>
      </c>
      <c r="F137">
        <v>83</v>
      </c>
      <c r="G137">
        <v>1.7567999999999999</v>
      </c>
      <c r="I137" t="s">
        <v>137</v>
      </c>
      <c r="J137">
        <v>756472</v>
      </c>
      <c r="K137">
        <v>756467</v>
      </c>
      <c r="L137" s="3">
        <v>-1</v>
      </c>
      <c r="M137" s="3">
        <v>101</v>
      </c>
    </row>
    <row r="138" spans="3:13" x14ac:dyDescent="0.2">
      <c r="C138">
        <v>1128</v>
      </c>
      <c r="D138">
        <v>38.992438</v>
      </c>
      <c r="E138">
        <v>-77.055833000000007</v>
      </c>
      <c r="F138">
        <v>84</v>
      </c>
      <c r="G138">
        <v>1.7730999999999999</v>
      </c>
      <c r="I138" t="s">
        <v>137</v>
      </c>
      <c r="J138">
        <v>756632</v>
      </c>
      <c r="K138">
        <v>231275</v>
      </c>
      <c r="L138" s="3">
        <v>-1</v>
      </c>
      <c r="M138" s="3">
        <v>101</v>
      </c>
    </row>
    <row r="139" spans="3:13" x14ac:dyDescent="0.2">
      <c r="C139">
        <v>1128</v>
      </c>
      <c r="D139">
        <v>38.992263000000001</v>
      </c>
      <c r="E139">
        <v>-77.057951000000003</v>
      </c>
      <c r="F139">
        <v>85</v>
      </c>
      <c r="G139">
        <v>1.8873</v>
      </c>
      <c r="I139" t="s">
        <v>137</v>
      </c>
      <c r="J139">
        <v>756633</v>
      </c>
      <c r="K139">
        <v>231275</v>
      </c>
      <c r="L139" s="3">
        <v>-1</v>
      </c>
      <c r="M139" s="3">
        <v>101</v>
      </c>
    </row>
    <row r="140" spans="3:13" x14ac:dyDescent="0.2">
      <c r="C140">
        <v>1128</v>
      </c>
      <c r="D140">
        <v>38.992292999999997</v>
      </c>
      <c r="E140">
        <v>-77.057953999999995</v>
      </c>
      <c r="F140">
        <v>86</v>
      </c>
      <c r="G140">
        <v>1.8894</v>
      </c>
      <c r="I140" t="s">
        <v>137</v>
      </c>
      <c r="J140">
        <v>756633</v>
      </c>
      <c r="K140">
        <v>231277</v>
      </c>
      <c r="L140" s="3">
        <v>-1</v>
      </c>
      <c r="M140" s="3">
        <v>101</v>
      </c>
    </row>
    <row r="141" spans="3:13" x14ac:dyDescent="0.2">
      <c r="C141">
        <v>1128</v>
      </c>
      <c r="D141">
        <v>38.992258</v>
      </c>
      <c r="E141">
        <v>-77.058031999999997</v>
      </c>
      <c r="F141">
        <v>87</v>
      </c>
      <c r="G141">
        <v>1.8940999999999999</v>
      </c>
      <c r="I141" t="s">
        <v>137</v>
      </c>
      <c r="J141">
        <v>757341</v>
      </c>
      <c r="K141">
        <v>231277</v>
      </c>
      <c r="L141" s="3">
        <v>-1</v>
      </c>
      <c r="M141" s="3">
        <v>101</v>
      </c>
    </row>
    <row r="142" spans="3:13" x14ac:dyDescent="0.2">
      <c r="C142">
        <v>1128</v>
      </c>
      <c r="D142">
        <v>38.992249000000001</v>
      </c>
      <c r="E142">
        <v>-77.058173999999994</v>
      </c>
      <c r="F142">
        <v>88</v>
      </c>
      <c r="G142">
        <v>1.9016999999999999</v>
      </c>
      <c r="I142" t="s">
        <v>137</v>
      </c>
      <c r="J142">
        <v>757341</v>
      </c>
      <c r="K142">
        <v>757342</v>
      </c>
      <c r="L142" s="3">
        <v>-1</v>
      </c>
      <c r="M142" s="3">
        <v>101</v>
      </c>
    </row>
    <row r="143" spans="3:13" x14ac:dyDescent="0.2">
      <c r="C143">
        <v>1128</v>
      </c>
      <c r="D143">
        <v>38.992249000000001</v>
      </c>
      <c r="E143">
        <v>-77.058632000000003</v>
      </c>
      <c r="F143">
        <v>89</v>
      </c>
      <c r="G143">
        <v>1.9262999999999999</v>
      </c>
      <c r="I143" t="s">
        <v>137</v>
      </c>
      <c r="J143">
        <v>757342</v>
      </c>
      <c r="K143">
        <v>231283</v>
      </c>
      <c r="L143" s="3">
        <v>-1</v>
      </c>
      <c r="M143" s="3">
        <v>101</v>
      </c>
    </row>
    <row r="144" spans="3:13" x14ac:dyDescent="0.2">
      <c r="C144">
        <v>1128</v>
      </c>
      <c r="D144">
        <v>38.992258</v>
      </c>
      <c r="E144">
        <v>-77.058881999999997</v>
      </c>
      <c r="F144">
        <v>90</v>
      </c>
      <c r="G144">
        <v>1.9398</v>
      </c>
      <c r="I144" t="s">
        <v>137</v>
      </c>
      <c r="J144">
        <v>757342</v>
      </c>
      <c r="K144">
        <v>757341</v>
      </c>
      <c r="L144" s="3">
        <v>-1</v>
      </c>
      <c r="M144" s="3">
        <v>101</v>
      </c>
    </row>
    <row r="145" spans="3:13" x14ac:dyDescent="0.2">
      <c r="C145">
        <v>1128</v>
      </c>
      <c r="D145">
        <v>38.992288000000002</v>
      </c>
      <c r="E145">
        <v>-77.059213</v>
      </c>
      <c r="F145">
        <v>91</v>
      </c>
      <c r="G145">
        <v>1.9576</v>
      </c>
      <c r="I145" t="s">
        <v>137</v>
      </c>
      <c r="J145">
        <v>757412</v>
      </c>
      <c r="K145">
        <v>113757</v>
      </c>
      <c r="L145" s="3">
        <v>-1</v>
      </c>
      <c r="M145" s="3">
        <v>101</v>
      </c>
    </row>
    <row r="146" spans="3:13" x14ac:dyDescent="0.2">
      <c r="C146">
        <v>1128</v>
      </c>
      <c r="D146">
        <v>38.992339999999999</v>
      </c>
      <c r="E146">
        <v>-77.059522999999999</v>
      </c>
      <c r="F146">
        <v>92</v>
      </c>
      <c r="G146">
        <v>1.9745999999999999</v>
      </c>
      <c r="I146" t="s">
        <v>137</v>
      </c>
      <c r="J146">
        <v>757412</v>
      </c>
      <c r="K146">
        <v>113758</v>
      </c>
      <c r="L146" s="3">
        <v>-1</v>
      </c>
      <c r="M146" s="3">
        <v>101</v>
      </c>
    </row>
    <row r="147" spans="3:13" x14ac:dyDescent="0.2">
      <c r="C147">
        <v>1128</v>
      </c>
      <c r="D147">
        <v>38.992449000000001</v>
      </c>
      <c r="E147">
        <v>-77.060091999999997</v>
      </c>
      <c r="F147">
        <v>93</v>
      </c>
      <c r="G147">
        <v>2.0061</v>
      </c>
      <c r="I147" t="s">
        <v>137</v>
      </c>
      <c r="J147">
        <v>757460</v>
      </c>
      <c r="K147">
        <v>118080</v>
      </c>
      <c r="L147" s="3">
        <v>-1</v>
      </c>
      <c r="M147" s="3">
        <v>101</v>
      </c>
    </row>
    <row r="148" spans="3:13" x14ac:dyDescent="0.2">
      <c r="C148">
        <v>1128</v>
      </c>
      <c r="D148">
        <v>38.992502000000002</v>
      </c>
      <c r="E148">
        <v>-77.060323999999994</v>
      </c>
      <c r="F148">
        <v>94</v>
      </c>
      <c r="G148">
        <v>2.0188999999999999</v>
      </c>
      <c r="I148" t="s">
        <v>137</v>
      </c>
      <c r="J148">
        <v>757460</v>
      </c>
      <c r="K148">
        <v>231286</v>
      </c>
      <c r="L148" s="3">
        <v>-1</v>
      </c>
      <c r="M148" s="3">
        <v>101</v>
      </c>
    </row>
    <row r="149" spans="3:13" x14ac:dyDescent="0.2">
      <c r="C149">
        <v>1128</v>
      </c>
      <c r="D149">
        <v>38.992547999999999</v>
      </c>
      <c r="E149">
        <v>-77.060305999999997</v>
      </c>
      <c r="F149">
        <v>95</v>
      </c>
      <c r="G149">
        <v>2.0222000000000002</v>
      </c>
      <c r="I149" t="s">
        <v>137</v>
      </c>
      <c r="J149">
        <v>117966</v>
      </c>
      <c r="K149">
        <v>755053</v>
      </c>
      <c r="L149" s="3">
        <v>-1</v>
      </c>
      <c r="M149" s="3">
        <v>102</v>
      </c>
    </row>
    <row r="150" spans="3:13" x14ac:dyDescent="0.2">
      <c r="C150">
        <v>1128</v>
      </c>
      <c r="D150">
        <v>38.992559</v>
      </c>
      <c r="E150">
        <v>-77.060563000000002</v>
      </c>
      <c r="F150">
        <v>96</v>
      </c>
      <c r="G150">
        <v>2.036</v>
      </c>
      <c r="I150" t="s">
        <v>137</v>
      </c>
      <c r="J150">
        <v>117966</v>
      </c>
      <c r="K150">
        <v>755197</v>
      </c>
      <c r="L150" s="3">
        <v>-1</v>
      </c>
      <c r="M150" s="3">
        <v>102</v>
      </c>
    </row>
    <row r="151" spans="3:13" x14ac:dyDescent="0.2">
      <c r="C151">
        <v>1128</v>
      </c>
      <c r="D151">
        <v>38.992597000000004</v>
      </c>
      <c r="E151">
        <v>-77.060781000000006</v>
      </c>
      <c r="F151">
        <v>97</v>
      </c>
      <c r="G151">
        <v>2.0478999999999998</v>
      </c>
      <c r="I151" t="s">
        <v>137</v>
      </c>
      <c r="J151">
        <v>117972</v>
      </c>
      <c r="K151">
        <v>117974</v>
      </c>
      <c r="L151" s="3">
        <v>-1</v>
      </c>
      <c r="M151" s="3">
        <v>102</v>
      </c>
    </row>
    <row r="152" spans="3:13" x14ac:dyDescent="0.2">
      <c r="C152">
        <v>1128</v>
      </c>
      <c r="D152">
        <v>38.992910000000002</v>
      </c>
      <c r="E152">
        <v>-77.062071000000003</v>
      </c>
      <c r="F152">
        <v>98</v>
      </c>
      <c r="G152">
        <v>2.1206</v>
      </c>
      <c r="I152" t="s">
        <v>137</v>
      </c>
      <c r="J152">
        <v>117972</v>
      </c>
      <c r="K152">
        <v>119080</v>
      </c>
      <c r="L152" s="3">
        <v>-1</v>
      </c>
      <c r="M152" s="3">
        <v>102</v>
      </c>
    </row>
    <row r="153" spans="3:13" x14ac:dyDescent="0.2">
      <c r="C153">
        <v>1128</v>
      </c>
      <c r="D153">
        <v>38.992958999999999</v>
      </c>
      <c r="E153">
        <v>-77.062303</v>
      </c>
      <c r="F153">
        <v>99</v>
      </c>
      <c r="G153">
        <v>2.1335000000000002</v>
      </c>
      <c r="I153" t="s">
        <v>137</v>
      </c>
      <c r="J153">
        <v>117972</v>
      </c>
      <c r="K153">
        <v>755198</v>
      </c>
      <c r="L153" s="3">
        <v>-1</v>
      </c>
      <c r="M153" s="3">
        <v>102</v>
      </c>
    </row>
    <row r="154" spans="3:13" x14ac:dyDescent="0.2">
      <c r="C154">
        <v>1128</v>
      </c>
      <c r="D154">
        <v>38.993167</v>
      </c>
      <c r="E154">
        <v>-77.063170999999997</v>
      </c>
      <c r="F154">
        <v>100</v>
      </c>
      <c r="G154">
        <v>2.1823999999999999</v>
      </c>
      <c r="I154" t="s">
        <v>137</v>
      </c>
      <c r="J154">
        <v>117974</v>
      </c>
      <c r="K154">
        <v>117972</v>
      </c>
      <c r="L154" s="3">
        <v>-1</v>
      </c>
      <c r="M154" s="3">
        <v>102</v>
      </c>
    </row>
    <row r="155" spans="3:13" x14ac:dyDescent="0.2">
      <c r="C155">
        <v>1128</v>
      </c>
      <c r="D155">
        <v>38.993228000000002</v>
      </c>
      <c r="E155">
        <v>-77.06353</v>
      </c>
      <c r="F155">
        <v>101</v>
      </c>
      <c r="G155">
        <v>2.2021000000000002</v>
      </c>
      <c r="I155" t="s">
        <v>137</v>
      </c>
      <c r="J155">
        <v>117974</v>
      </c>
      <c r="K155">
        <v>117981</v>
      </c>
      <c r="L155" s="3">
        <v>-1</v>
      </c>
      <c r="M155" s="3">
        <v>102</v>
      </c>
    </row>
    <row r="156" spans="3:13" x14ac:dyDescent="0.2">
      <c r="C156">
        <v>1128</v>
      </c>
      <c r="D156">
        <v>38.993239000000003</v>
      </c>
      <c r="E156">
        <v>-77.064080000000004</v>
      </c>
      <c r="F156">
        <v>102</v>
      </c>
      <c r="G156">
        <v>2.2315999999999998</v>
      </c>
      <c r="I156" t="s">
        <v>137</v>
      </c>
      <c r="J156">
        <v>117981</v>
      </c>
      <c r="K156">
        <v>117974</v>
      </c>
      <c r="L156" s="3">
        <v>-1</v>
      </c>
      <c r="M156" s="3">
        <v>102</v>
      </c>
    </row>
    <row r="157" spans="3:13" x14ac:dyDescent="0.2">
      <c r="C157">
        <v>1128</v>
      </c>
      <c r="D157">
        <v>38.993222000000003</v>
      </c>
      <c r="E157">
        <v>-77.064291999999995</v>
      </c>
      <c r="F157">
        <v>103</v>
      </c>
      <c r="G157">
        <v>2.2429999999999999</v>
      </c>
      <c r="I157" t="s">
        <v>137</v>
      </c>
      <c r="J157">
        <v>117981</v>
      </c>
      <c r="K157">
        <v>117984</v>
      </c>
      <c r="L157" s="3">
        <v>-1</v>
      </c>
      <c r="M157" s="3">
        <v>102</v>
      </c>
    </row>
    <row r="158" spans="3:13" x14ac:dyDescent="0.2">
      <c r="C158">
        <v>1128</v>
      </c>
      <c r="D158">
        <v>38.993326000000003</v>
      </c>
      <c r="E158">
        <v>-77.064301</v>
      </c>
      <c r="F158">
        <v>104</v>
      </c>
      <c r="G158">
        <v>2.2502</v>
      </c>
      <c r="I158" t="s">
        <v>137</v>
      </c>
      <c r="J158">
        <v>117984</v>
      </c>
      <c r="K158">
        <v>117981</v>
      </c>
      <c r="L158" s="3">
        <v>-1</v>
      </c>
      <c r="M158" s="3">
        <v>102</v>
      </c>
    </row>
    <row r="159" spans="3:13" x14ac:dyDescent="0.2">
      <c r="C159">
        <v>1128</v>
      </c>
      <c r="D159">
        <v>38.993209</v>
      </c>
      <c r="E159">
        <v>-77.064492999999999</v>
      </c>
      <c r="F159">
        <v>105</v>
      </c>
      <c r="G159">
        <v>2.2633000000000001</v>
      </c>
      <c r="I159" t="s">
        <v>137</v>
      </c>
      <c r="J159">
        <v>117984</v>
      </c>
      <c r="K159">
        <v>119405</v>
      </c>
      <c r="L159" s="3">
        <v>-1</v>
      </c>
      <c r="M159" s="3">
        <v>102</v>
      </c>
    </row>
    <row r="160" spans="3:13" x14ac:dyDescent="0.2">
      <c r="C160">
        <v>1128</v>
      </c>
      <c r="D160">
        <v>38.993088</v>
      </c>
      <c r="E160">
        <v>-77.065061999999998</v>
      </c>
      <c r="F160">
        <v>106</v>
      </c>
      <c r="G160">
        <v>2.2947000000000002</v>
      </c>
      <c r="I160" t="s">
        <v>137</v>
      </c>
      <c r="J160">
        <v>117984</v>
      </c>
      <c r="K160">
        <v>755418</v>
      </c>
      <c r="L160" s="3">
        <v>-1</v>
      </c>
      <c r="M160" s="3">
        <v>102</v>
      </c>
    </row>
    <row r="161" spans="3:13" x14ac:dyDescent="0.2">
      <c r="C161">
        <v>1128</v>
      </c>
      <c r="D161">
        <v>38.992998</v>
      </c>
      <c r="E161">
        <v>-77.065430000000006</v>
      </c>
      <c r="F161">
        <v>107</v>
      </c>
      <c r="G161">
        <v>2.3153000000000001</v>
      </c>
      <c r="I161" t="s">
        <v>137</v>
      </c>
      <c r="J161">
        <v>117984</v>
      </c>
      <c r="K161">
        <v>755419</v>
      </c>
      <c r="L161" s="3">
        <v>-1</v>
      </c>
      <c r="M161" s="3">
        <v>102</v>
      </c>
    </row>
    <row r="162" spans="3:13" x14ac:dyDescent="0.2">
      <c r="C162">
        <v>1128</v>
      </c>
      <c r="D162">
        <v>38.992868999999999</v>
      </c>
      <c r="E162">
        <v>-77.065813000000006</v>
      </c>
      <c r="F162">
        <v>108</v>
      </c>
      <c r="G162">
        <v>2.3374999999999999</v>
      </c>
      <c r="I162" t="s">
        <v>137</v>
      </c>
      <c r="J162">
        <v>117987</v>
      </c>
      <c r="K162">
        <v>117988</v>
      </c>
      <c r="L162" s="3">
        <v>-1</v>
      </c>
      <c r="M162" s="3">
        <v>102</v>
      </c>
    </row>
    <row r="163" spans="3:13" x14ac:dyDescent="0.2">
      <c r="C163">
        <v>1128</v>
      </c>
      <c r="D163">
        <v>38.992688000000001</v>
      </c>
      <c r="E163">
        <v>-77.066242000000003</v>
      </c>
      <c r="F163">
        <v>109</v>
      </c>
      <c r="G163">
        <v>2.3633999999999999</v>
      </c>
      <c r="I163" t="s">
        <v>137</v>
      </c>
      <c r="J163">
        <v>117987</v>
      </c>
      <c r="K163">
        <v>755419</v>
      </c>
      <c r="L163" s="3">
        <v>-1</v>
      </c>
      <c r="M163" s="3">
        <v>102</v>
      </c>
    </row>
    <row r="164" spans="3:13" x14ac:dyDescent="0.2">
      <c r="C164">
        <v>1128</v>
      </c>
      <c r="D164">
        <v>38.992407999999998</v>
      </c>
      <c r="E164">
        <v>-77.066801999999996</v>
      </c>
      <c r="F164">
        <v>110</v>
      </c>
      <c r="G164">
        <v>2.3990999999999998</v>
      </c>
      <c r="I164" t="s">
        <v>137</v>
      </c>
      <c r="J164">
        <v>117988</v>
      </c>
      <c r="K164">
        <v>117987</v>
      </c>
      <c r="L164" s="3">
        <v>-1</v>
      </c>
      <c r="M164" s="3">
        <v>102</v>
      </c>
    </row>
    <row r="165" spans="3:13" x14ac:dyDescent="0.2">
      <c r="C165">
        <v>1128</v>
      </c>
      <c r="D165">
        <v>38.992159000000001</v>
      </c>
      <c r="E165">
        <v>-77.067243000000005</v>
      </c>
      <c r="F165">
        <v>111</v>
      </c>
      <c r="G165">
        <v>2.4279999999999999</v>
      </c>
      <c r="I165" t="s">
        <v>137</v>
      </c>
      <c r="J165">
        <v>117988</v>
      </c>
      <c r="K165">
        <v>117992</v>
      </c>
      <c r="L165" s="3">
        <v>-1</v>
      </c>
      <c r="M165" s="3">
        <v>102</v>
      </c>
    </row>
    <row r="166" spans="3:13" x14ac:dyDescent="0.2">
      <c r="C166">
        <v>1128</v>
      </c>
      <c r="D166">
        <v>38.991658000000001</v>
      </c>
      <c r="E166">
        <v>-77.068190999999999</v>
      </c>
      <c r="F166">
        <v>112</v>
      </c>
      <c r="G166">
        <v>2.4891999999999999</v>
      </c>
      <c r="I166" t="s">
        <v>137</v>
      </c>
      <c r="J166">
        <v>117992</v>
      </c>
      <c r="K166">
        <v>117994</v>
      </c>
      <c r="L166" s="3">
        <v>-1</v>
      </c>
      <c r="M166" s="3">
        <v>102</v>
      </c>
    </row>
    <row r="167" spans="3:13" x14ac:dyDescent="0.2">
      <c r="C167">
        <v>1128</v>
      </c>
      <c r="D167">
        <v>38.991449000000003</v>
      </c>
      <c r="E167">
        <v>-77.068521000000004</v>
      </c>
      <c r="F167">
        <v>113</v>
      </c>
      <c r="G167">
        <v>2.5118999999999998</v>
      </c>
      <c r="I167" t="s">
        <v>137</v>
      </c>
      <c r="J167">
        <v>117992</v>
      </c>
      <c r="K167">
        <v>755230</v>
      </c>
      <c r="L167" s="3">
        <v>-1</v>
      </c>
      <c r="M167" s="3">
        <v>102</v>
      </c>
    </row>
    <row r="168" spans="3:13" x14ac:dyDescent="0.2">
      <c r="C168">
        <v>1128</v>
      </c>
      <c r="D168">
        <v>38.991169999999997</v>
      </c>
      <c r="E168">
        <v>-77.068892000000005</v>
      </c>
      <c r="F168">
        <v>114</v>
      </c>
      <c r="G168">
        <v>2.5394000000000001</v>
      </c>
      <c r="I168" t="s">
        <v>137</v>
      </c>
      <c r="J168">
        <v>117994</v>
      </c>
      <c r="K168">
        <v>118066</v>
      </c>
      <c r="L168" s="3">
        <v>-1</v>
      </c>
      <c r="M168" s="3">
        <v>102</v>
      </c>
    </row>
    <row r="169" spans="3:13" x14ac:dyDescent="0.2">
      <c r="C169">
        <v>1128</v>
      </c>
      <c r="D169">
        <v>38.991249000000003</v>
      </c>
      <c r="E169">
        <v>-77.069018</v>
      </c>
      <c r="F169">
        <v>115</v>
      </c>
      <c r="G169">
        <v>2.5480999999999998</v>
      </c>
      <c r="I169" t="s">
        <v>137</v>
      </c>
      <c r="J169">
        <v>118066</v>
      </c>
      <c r="K169">
        <v>118069</v>
      </c>
      <c r="L169" s="3">
        <v>-1</v>
      </c>
      <c r="M169" s="3">
        <v>102</v>
      </c>
    </row>
    <row r="170" spans="3:13" x14ac:dyDescent="0.2">
      <c r="C170">
        <v>1128</v>
      </c>
      <c r="D170">
        <v>38.991342000000003</v>
      </c>
      <c r="E170">
        <v>-77.068917999999996</v>
      </c>
      <c r="F170">
        <v>116</v>
      </c>
      <c r="G170">
        <v>2.5564</v>
      </c>
      <c r="I170" t="s">
        <v>137</v>
      </c>
      <c r="J170">
        <v>118069</v>
      </c>
      <c r="K170">
        <v>117988</v>
      </c>
      <c r="L170" s="3">
        <v>-1</v>
      </c>
      <c r="M170" s="3">
        <v>102</v>
      </c>
    </row>
    <row r="171" spans="3:13" x14ac:dyDescent="0.2">
      <c r="C171">
        <v>1128</v>
      </c>
      <c r="D171">
        <v>38.991169999999997</v>
      </c>
      <c r="E171">
        <v>-77.068892000000005</v>
      </c>
      <c r="F171">
        <v>117</v>
      </c>
      <c r="G171">
        <v>2.5684</v>
      </c>
      <c r="I171" t="s">
        <v>137</v>
      </c>
      <c r="J171">
        <v>118069</v>
      </c>
      <c r="K171">
        <v>118066</v>
      </c>
      <c r="L171" s="3">
        <v>-1</v>
      </c>
      <c r="M171" s="3">
        <v>102</v>
      </c>
    </row>
    <row r="172" spans="3:13" x14ac:dyDescent="0.2">
      <c r="C172">
        <v>1128</v>
      </c>
      <c r="D172">
        <v>38.990879</v>
      </c>
      <c r="E172">
        <v>-77.069111000000007</v>
      </c>
      <c r="F172">
        <v>118</v>
      </c>
      <c r="G172">
        <v>2.5914999999999999</v>
      </c>
      <c r="I172" t="s">
        <v>137</v>
      </c>
      <c r="J172">
        <v>118069</v>
      </c>
      <c r="K172">
        <v>755420</v>
      </c>
      <c r="L172" s="3">
        <v>-1</v>
      </c>
      <c r="M172" s="3">
        <v>102</v>
      </c>
    </row>
    <row r="173" spans="3:13" x14ac:dyDescent="0.2">
      <c r="C173">
        <v>1128</v>
      </c>
      <c r="D173">
        <v>38.989958999999999</v>
      </c>
      <c r="E173">
        <v>-77.069721999999999</v>
      </c>
      <c r="F173">
        <v>119</v>
      </c>
      <c r="G173">
        <v>2.6627000000000001</v>
      </c>
      <c r="I173" t="s">
        <v>137</v>
      </c>
      <c r="J173">
        <v>118175</v>
      </c>
      <c r="K173">
        <v>118176</v>
      </c>
      <c r="L173" s="3">
        <v>-1</v>
      </c>
      <c r="M173" s="3">
        <v>102</v>
      </c>
    </row>
    <row r="174" spans="3:13" x14ac:dyDescent="0.2">
      <c r="C174">
        <v>1128</v>
      </c>
      <c r="D174">
        <v>38.989865000000002</v>
      </c>
      <c r="E174">
        <v>-77.069787000000005</v>
      </c>
      <c r="F174">
        <v>120</v>
      </c>
      <c r="G174">
        <v>2.6699000000000002</v>
      </c>
      <c r="I174" t="s">
        <v>137</v>
      </c>
      <c r="J174">
        <v>118175</v>
      </c>
      <c r="K174">
        <v>120485</v>
      </c>
      <c r="L174" s="3">
        <v>-1</v>
      </c>
      <c r="M174" s="3">
        <v>102</v>
      </c>
    </row>
    <row r="175" spans="3:13" x14ac:dyDescent="0.2">
      <c r="C175">
        <v>1128</v>
      </c>
      <c r="D175">
        <v>38.989882000000001</v>
      </c>
      <c r="E175">
        <v>-77.069817999999998</v>
      </c>
      <c r="F175">
        <v>121</v>
      </c>
      <c r="G175">
        <v>2.6718000000000002</v>
      </c>
      <c r="I175" t="s">
        <v>137</v>
      </c>
      <c r="J175">
        <v>118176</v>
      </c>
      <c r="K175">
        <v>118175</v>
      </c>
      <c r="L175" s="3">
        <v>-1</v>
      </c>
      <c r="M175" s="3">
        <v>102</v>
      </c>
    </row>
    <row r="176" spans="3:13" x14ac:dyDescent="0.2">
      <c r="C176">
        <v>1128</v>
      </c>
      <c r="D176">
        <v>38.989558000000002</v>
      </c>
      <c r="E176">
        <v>-77.069991999999999</v>
      </c>
      <c r="F176">
        <v>122</v>
      </c>
      <c r="G176">
        <v>2.6958000000000002</v>
      </c>
      <c r="I176" t="s">
        <v>137</v>
      </c>
      <c r="J176">
        <v>118176</v>
      </c>
      <c r="K176">
        <v>755417</v>
      </c>
      <c r="L176" s="3">
        <v>-1</v>
      </c>
      <c r="M176" s="3">
        <v>102</v>
      </c>
    </row>
    <row r="177" spans="3:13" x14ac:dyDescent="0.2">
      <c r="C177">
        <v>1128</v>
      </c>
      <c r="D177">
        <v>38.989369000000003</v>
      </c>
      <c r="E177">
        <v>-77.070192000000006</v>
      </c>
      <c r="F177">
        <v>123</v>
      </c>
      <c r="G177">
        <v>2.7124999999999999</v>
      </c>
      <c r="I177" t="s">
        <v>137</v>
      </c>
      <c r="J177">
        <v>118184</v>
      </c>
      <c r="K177">
        <v>118185</v>
      </c>
      <c r="L177" s="3">
        <v>-1</v>
      </c>
      <c r="M177" s="3">
        <v>102</v>
      </c>
    </row>
    <row r="178" spans="3:13" x14ac:dyDescent="0.2">
      <c r="C178">
        <v>1128</v>
      </c>
      <c r="D178">
        <v>38.989260000000002</v>
      </c>
      <c r="E178">
        <v>-77.070362000000003</v>
      </c>
      <c r="F178">
        <v>124</v>
      </c>
      <c r="G178">
        <v>2.7242000000000002</v>
      </c>
      <c r="I178" t="s">
        <v>137</v>
      </c>
      <c r="J178">
        <v>118185</v>
      </c>
      <c r="K178">
        <v>118193</v>
      </c>
      <c r="L178" s="3">
        <v>-1</v>
      </c>
      <c r="M178" s="3">
        <v>102</v>
      </c>
    </row>
    <row r="179" spans="3:13" x14ac:dyDescent="0.2">
      <c r="C179">
        <v>1128</v>
      </c>
      <c r="D179">
        <v>38.989158000000003</v>
      </c>
      <c r="E179">
        <v>-77.070603000000006</v>
      </c>
      <c r="F179">
        <v>125</v>
      </c>
      <c r="G179">
        <v>2.7387999999999999</v>
      </c>
      <c r="I179" t="s">
        <v>137</v>
      </c>
      <c r="J179">
        <v>118193</v>
      </c>
      <c r="K179">
        <v>118203</v>
      </c>
      <c r="L179" s="3">
        <v>-1</v>
      </c>
      <c r="M179" s="3">
        <v>102</v>
      </c>
    </row>
    <row r="180" spans="3:13" x14ac:dyDescent="0.2">
      <c r="C180">
        <v>1128</v>
      </c>
      <c r="D180">
        <v>38.989060000000002</v>
      </c>
      <c r="E180">
        <v>-77.071010000000001</v>
      </c>
      <c r="F180">
        <v>126</v>
      </c>
      <c r="G180">
        <v>2.7616000000000001</v>
      </c>
      <c r="I180" t="s">
        <v>137</v>
      </c>
      <c r="J180">
        <v>118203</v>
      </c>
      <c r="K180">
        <v>754890</v>
      </c>
      <c r="L180" s="3">
        <v>-1</v>
      </c>
      <c r="M180" s="3">
        <v>102</v>
      </c>
    </row>
    <row r="181" spans="3:13" x14ac:dyDescent="0.2">
      <c r="C181">
        <v>1128</v>
      </c>
      <c r="D181">
        <v>38.988878999999997</v>
      </c>
      <c r="E181">
        <v>-77.071911</v>
      </c>
      <c r="F181">
        <v>127</v>
      </c>
      <c r="G181">
        <v>2.8113999999999999</v>
      </c>
      <c r="I181" t="s">
        <v>137</v>
      </c>
      <c r="J181">
        <v>118212</v>
      </c>
      <c r="K181">
        <v>755230</v>
      </c>
      <c r="L181" s="3">
        <v>-1</v>
      </c>
      <c r="M181" s="3">
        <v>102</v>
      </c>
    </row>
    <row r="182" spans="3:13" x14ac:dyDescent="0.2">
      <c r="C182">
        <v>1128</v>
      </c>
      <c r="D182">
        <v>38.988807999999999</v>
      </c>
      <c r="E182">
        <v>-77.072310999999999</v>
      </c>
      <c r="F182">
        <v>128</v>
      </c>
      <c r="G182">
        <v>2.8331</v>
      </c>
      <c r="I182" t="s">
        <v>137</v>
      </c>
      <c r="J182">
        <v>118212</v>
      </c>
      <c r="K182">
        <v>755233</v>
      </c>
      <c r="L182" s="3">
        <v>-1</v>
      </c>
      <c r="M182" s="3">
        <v>102</v>
      </c>
    </row>
    <row r="183" spans="3:13" x14ac:dyDescent="0.2">
      <c r="C183">
        <v>1128</v>
      </c>
      <c r="D183">
        <v>38.988607999999999</v>
      </c>
      <c r="E183">
        <v>-77.073539999999994</v>
      </c>
      <c r="F183">
        <v>129</v>
      </c>
      <c r="G183">
        <v>2.9003999999999999</v>
      </c>
      <c r="I183" t="s">
        <v>137</v>
      </c>
      <c r="J183">
        <v>118216</v>
      </c>
      <c r="K183">
        <v>118217</v>
      </c>
      <c r="L183" s="3">
        <v>-1</v>
      </c>
      <c r="M183" s="3">
        <v>102</v>
      </c>
    </row>
    <row r="184" spans="3:13" x14ac:dyDescent="0.2">
      <c r="C184">
        <v>1128</v>
      </c>
      <c r="D184">
        <v>38.988568999999998</v>
      </c>
      <c r="E184">
        <v>-77.073763</v>
      </c>
      <c r="F184">
        <v>130</v>
      </c>
      <c r="G184">
        <v>2.9125000000000001</v>
      </c>
      <c r="I184" t="s">
        <v>137</v>
      </c>
      <c r="J184">
        <v>118216</v>
      </c>
      <c r="K184">
        <v>755232</v>
      </c>
      <c r="L184" s="3">
        <v>-1</v>
      </c>
      <c r="M184" s="3">
        <v>102</v>
      </c>
    </row>
    <row r="185" spans="3:13" x14ac:dyDescent="0.2">
      <c r="C185">
        <v>1128</v>
      </c>
      <c r="D185">
        <v>38.988630000000001</v>
      </c>
      <c r="E185">
        <v>-77.073775999999995</v>
      </c>
      <c r="F185">
        <v>131</v>
      </c>
      <c r="G185">
        <v>2.9167000000000001</v>
      </c>
      <c r="I185" t="s">
        <v>137</v>
      </c>
      <c r="J185">
        <v>118216</v>
      </c>
      <c r="K185">
        <v>755324</v>
      </c>
      <c r="L185" s="3">
        <v>-1</v>
      </c>
      <c r="M185" s="3">
        <v>102</v>
      </c>
    </row>
    <row r="186" spans="3:13" x14ac:dyDescent="0.2">
      <c r="C186">
        <v>1128</v>
      </c>
      <c r="D186">
        <v>38.988509000000001</v>
      </c>
      <c r="E186">
        <v>-77.074151000000001</v>
      </c>
      <c r="F186">
        <v>132</v>
      </c>
      <c r="G186">
        <v>2.9382999999999999</v>
      </c>
      <c r="I186" t="s">
        <v>137</v>
      </c>
      <c r="J186">
        <v>118216</v>
      </c>
      <c r="K186">
        <v>755334</v>
      </c>
      <c r="L186" s="3">
        <v>-1</v>
      </c>
      <c r="M186" s="3">
        <v>102</v>
      </c>
    </row>
    <row r="187" spans="3:13" x14ac:dyDescent="0.2">
      <c r="C187">
        <v>1128</v>
      </c>
      <c r="D187">
        <v>38.988377</v>
      </c>
      <c r="E187">
        <v>-77.075123000000005</v>
      </c>
      <c r="F187">
        <v>133</v>
      </c>
      <c r="G187">
        <v>2.9910999999999999</v>
      </c>
      <c r="I187" t="s">
        <v>137</v>
      </c>
      <c r="J187">
        <v>118217</v>
      </c>
      <c r="K187">
        <v>118216</v>
      </c>
      <c r="L187" s="3">
        <v>-1</v>
      </c>
      <c r="M187" s="3">
        <v>102</v>
      </c>
    </row>
    <row r="188" spans="3:13" x14ac:dyDescent="0.2">
      <c r="C188">
        <v>1128</v>
      </c>
      <c r="D188">
        <v>38.988328000000003</v>
      </c>
      <c r="E188">
        <v>-77.075310000000002</v>
      </c>
      <c r="F188">
        <v>134</v>
      </c>
      <c r="G188">
        <v>3.0015000000000001</v>
      </c>
      <c r="I188" t="s">
        <v>137</v>
      </c>
      <c r="J188">
        <v>118217</v>
      </c>
      <c r="K188">
        <v>754821</v>
      </c>
      <c r="L188" s="3">
        <v>-1</v>
      </c>
      <c r="M188" s="3">
        <v>102</v>
      </c>
    </row>
    <row r="189" spans="3:13" x14ac:dyDescent="0.2">
      <c r="C189">
        <v>1128</v>
      </c>
      <c r="D189">
        <v>38.988188000000001</v>
      </c>
      <c r="E189">
        <v>-77.075770000000006</v>
      </c>
      <c r="F189">
        <v>135</v>
      </c>
      <c r="G189">
        <v>3.0278</v>
      </c>
      <c r="I189" t="s">
        <v>137</v>
      </c>
      <c r="J189">
        <v>118225</v>
      </c>
      <c r="K189">
        <v>754820</v>
      </c>
      <c r="L189" s="3">
        <v>-1</v>
      </c>
      <c r="M189" s="3">
        <v>102</v>
      </c>
    </row>
    <row r="190" spans="3:13" x14ac:dyDescent="0.2">
      <c r="C190">
        <v>1128</v>
      </c>
      <c r="D190">
        <v>38.988078999999999</v>
      </c>
      <c r="E190">
        <v>-77.076103000000003</v>
      </c>
      <c r="F190">
        <v>136</v>
      </c>
      <c r="G190">
        <v>3.0472000000000001</v>
      </c>
      <c r="I190" t="s">
        <v>137</v>
      </c>
      <c r="J190">
        <v>118225</v>
      </c>
      <c r="K190">
        <v>754821</v>
      </c>
      <c r="L190" s="3">
        <v>-1</v>
      </c>
      <c r="M190" s="3">
        <v>102</v>
      </c>
    </row>
    <row r="191" spans="3:13" x14ac:dyDescent="0.2">
      <c r="C191">
        <v>1128</v>
      </c>
      <c r="D191">
        <v>38.987999000000002</v>
      </c>
      <c r="E191">
        <v>-77.076351000000003</v>
      </c>
      <c r="F191">
        <v>137</v>
      </c>
      <c r="G191">
        <v>3.0613999999999999</v>
      </c>
      <c r="I191" t="s">
        <v>137</v>
      </c>
      <c r="J191">
        <v>119071</v>
      </c>
      <c r="K191">
        <v>119075</v>
      </c>
      <c r="L191" s="3">
        <v>-1</v>
      </c>
      <c r="M191" s="3">
        <v>102</v>
      </c>
    </row>
    <row r="192" spans="3:13" x14ac:dyDescent="0.2">
      <c r="C192">
        <v>1128</v>
      </c>
      <c r="D192">
        <v>38.987988000000001</v>
      </c>
      <c r="E192">
        <v>-77.076410999999993</v>
      </c>
      <c r="F192">
        <v>138</v>
      </c>
      <c r="G192">
        <v>3.0646</v>
      </c>
      <c r="I192" t="s">
        <v>137</v>
      </c>
      <c r="J192">
        <v>119071</v>
      </c>
      <c r="K192">
        <v>755053</v>
      </c>
      <c r="L192" s="3">
        <v>-1</v>
      </c>
      <c r="M192" s="3">
        <v>102</v>
      </c>
    </row>
    <row r="193" spans="3:13" x14ac:dyDescent="0.2">
      <c r="C193">
        <v>1128</v>
      </c>
      <c r="D193">
        <v>38.988016000000002</v>
      </c>
      <c r="E193">
        <v>-77.076418000000004</v>
      </c>
      <c r="F193">
        <v>139</v>
      </c>
      <c r="G193">
        <v>3.0665</v>
      </c>
      <c r="I193" t="s">
        <v>137</v>
      </c>
      <c r="J193">
        <v>119071</v>
      </c>
      <c r="K193">
        <v>755323</v>
      </c>
      <c r="L193" s="3">
        <v>-1</v>
      </c>
      <c r="M193" s="3">
        <v>102</v>
      </c>
    </row>
    <row r="194" spans="3:13" x14ac:dyDescent="0.2">
      <c r="C194">
        <v>1128</v>
      </c>
      <c r="D194">
        <v>38.987949999999998</v>
      </c>
      <c r="E194">
        <v>-77.076650999999998</v>
      </c>
      <c r="F194">
        <v>140</v>
      </c>
      <c r="G194">
        <v>3.0796999999999999</v>
      </c>
      <c r="I194" t="s">
        <v>137</v>
      </c>
      <c r="J194">
        <v>119075</v>
      </c>
      <c r="K194">
        <v>119071</v>
      </c>
      <c r="L194" s="3">
        <v>-1</v>
      </c>
      <c r="M194" s="3">
        <v>102</v>
      </c>
    </row>
    <row r="195" spans="3:13" x14ac:dyDescent="0.2">
      <c r="C195">
        <v>1128</v>
      </c>
      <c r="D195">
        <v>38.987923000000002</v>
      </c>
      <c r="E195">
        <v>-77.077089000000001</v>
      </c>
      <c r="F195">
        <v>141</v>
      </c>
      <c r="G195">
        <v>3.1032000000000002</v>
      </c>
      <c r="I195" t="s">
        <v>137</v>
      </c>
      <c r="J195">
        <v>119075</v>
      </c>
      <c r="K195">
        <v>755335</v>
      </c>
      <c r="L195" s="3">
        <v>-1</v>
      </c>
      <c r="M195" s="3">
        <v>102</v>
      </c>
    </row>
    <row r="196" spans="3:13" x14ac:dyDescent="0.2">
      <c r="C196">
        <v>1128</v>
      </c>
      <c r="D196">
        <v>38.987920000000003</v>
      </c>
      <c r="E196">
        <v>-77.077151999999998</v>
      </c>
      <c r="F196">
        <v>142</v>
      </c>
      <c r="G196">
        <v>3.1065999999999998</v>
      </c>
      <c r="I196" t="s">
        <v>137</v>
      </c>
      <c r="J196">
        <v>119080</v>
      </c>
      <c r="K196">
        <v>755334</v>
      </c>
      <c r="L196" s="3">
        <v>-1</v>
      </c>
      <c r="M196" s="3">
        <v>102</v>
      </c>
    </row>
    <row r="197" spans="3:13" x14ac:dyDescent="0.2">
      <c r="C197">
        <v>1128</v>
      </c>
      <c r="D197">
        <v>38.987920000000003</v>
      </c>
      <c r="E197">
        <v>-77.077789999999993</v>
      </c>
      <c r="F197">
        <v>143</v>
      </c>
      <c r="G197">
        <v>3.1408999999999998</v>
      </c>
      <c r="I197" t="s">
        <v>137</v>
      </c>
      <c r="J197">
        <v>119080</v>
      </c>
      <c r="K197">
        <v>755335</v>
      </c>
      <c r="L197" s="3">
        <v>-1</v>
      </c>
      <c r="M197" s="3">
        <v>102</v>
      </c>
    </row>
    <row r="198" spans="3:13" x14ac:dyDescent="0.2">
      <c r="C198">
        <v>1128</v>
      </c>
      <c r="D198">
        <v>38.98789</v>
      </c>
      <c r="E198">
        <v>-77.079402000000002</v>
      </c>
      <c r="F198">
        <v>144</v>
      </c>
      <c r="G198">
        <v>3.2275</v>
      </c>
      <c r="I198" t="s">
        <v>137</v>
      </c>
      <c r="J198">
        <v>119405</v>
      </c>
      <c r="K198">
        <v>117984</v>
      </c>
      <c r="L198" s="3">
        <v>-1</v>
      </c>
      <c r="M198" s="3">
        <v>102</v>
      </c>
    </row>
    <row r="199" spans="3:13" x14ac:dyDescent="0.2">
      <c r="C199">
        <v>1128</v>
      </c>
      <c r="D199">
        <v>38.987879</v>
      </c>
      <c r="E199">
        <v>-77.079800000000006</v>
      </c>
      <c r="F199">
        <v>145</v>
      </c>
      <c r="G199">
        <v>3.2488999999999999</v>
      </c>
      <c r="I199" t="s">
        <v>137</v>
      </c>
      <c r="J199">
        <v>120485</v>
      </c>
      <c r="K199">
        <v>118175</v>
      </c>
      <c r="L199" s="3">
        <v>-1</v>
      </c>
      <c r="M199" s="3">
        <v>102</v>
      </c>
    </row>
    <row r="200" spans="3:13" x14ac:dyDescent="0.2">
      <c r="C200">
        <v>1128</v>
      </c>
      <c r="D200">
        <v>38.987909000000002</v>
      </c>
      <c r="E200">
        <v>-77.080262000000005</v>
      </c>
      <c r="F200">
        <v>146</v>
      </c>
      <c r="G200">
        <v>3.2736999999999998</v>
      </c>
      <c r="I200" t="s">
        <v>137</v>
      </c>
      <c r="J200">
        <v>754820</v>
      </c>
      <c r="K200">
        <v>118225</v>
      </c>
      <c r="L200" s="3">
        <v>-1</v>
      </c>
      <c r="M200" s="3">
        <v>102</v>
      </c>
    </row>
    <row r="201" spans="3:13" x14ac:dyDescent="0.2">
      <c r="C201">
        <v>1128</v>
      </c>
      <c r="D201">
        <v>38.987957999999999</v>
      </c>
      <c r="E201">
        <v>-77.080652999999998</v>
      </c>
      <c r="F201">
        <v>147</v>
      </c>
      <c r="G201">
        <v>3.2949000000000002</v>
      </c>
      <c r="I201" t="s">
        <v>137</v>
      </c>
      <c r="J201">
        <v>754821</v>
      </c>
      <c r="K201">
        <v>118217</v>
      </c>
      <c r="L201" s="3">
        <v>-1</v>
      </c>
      <c r="M201" s="3">
        <v>102</v>
      </c>
    </row>
    <row r="202" spans="3:13" x14ac:dyDescent="0.2">
      <c r="C202">
        <v>1128</v>
      </c>
      <c r="D202">
        <v>38.988038000000003</v>
      </c>
      <c r="E202">
        <v>-77.080983000000003</v>
      </c>
      <c r="F202">
        <v>148</v>
      </c>
      <c r="G202">
        <v>3.3134000000000001</v>
      </c>
      <c r="I202" t="s">
        <v>137</v>
      </c>
      <c r="J202">
        <v>754821</v>
      </c>
      <c r="K202">
        <v>118225</v>
      </c>
      <c r="L202" s="3">
        <v>-1</v>
      </c>
      <c r="M202" s="3">
        <v>102</v>
      </c>
    </row>
    <row r="203" spans="3:13" x14ac:dyDescent="0.2">
      <c r="C203">
        <v>1128</v>
      </c>
      <c r="D203">
        <v>38.988149999999997</v>
      </c>
      <c r="E203">
        <v>-77.081401</v>
      </c>
      <c r="F203">
        <v>149</v>
      </c>
      <c r="G203">
        <v>3.3371</v>
      </c>
      <c r="I203" t="s">
        <v>137</v>
      </c>
      <c r="J203">
        <v>754890</v>
      </c>
      <c r="K203">
        <v>118212</v>
      </c>
      <c r="L203" s="3">
        <v>-1</v>
      </c>
      <c r="M203" s="3">
        <v>102</v>
      </c>
    </row>
    <row r="204" spans="3:13" x14ac:dyDescent="0.2">
      <c r="C204">
        <v>1128</v>
      </c>
      <c r="D204">
        <v>38.988177</v>
      </c>
      <c r="E204">
        <v>-77.081671999999998</v>
      </c>
      <c r="F204">
        <v>150</v>
      </c>
      <c r="G204">
        <v>3.3517000000000001</v>
      </c>
      <c r="I204" t="s">
        <v>137</v>
      </c>
      <c r="J204">
        <v>755053</v>
      </c>
      <c r="K204">
        <v>117966</v>
      </c>
      <c r="L204" s="3">
        <v>-1</v>
      </c>
      <c r="M204" s="3">
        <v>102</v>
      </c>
    </row>
    <row r="205" spans="3:13" x14ac:dyDescent="0.2">
      <c r="C205">
        <v>1128</v>
      </c>
      <c r="D205">
        <v>38.988157999999999</v>
      </c>
      <c r="E205">
        <v>-77.082053000000002</v>
      </c>
      <c r="F205">
        <v>151</v>
      </c>
      <c r="G205">
        <v>3.3721999999999999</v>
      </c>
      <c r="I205" t="s">
        <v>137</v>
      </c>
      <c r="J205">
        <v>755053</v>
      </c>
      <c r="K205">
        <v>119071</v>
      </c>
      <c r="L205" s="3">
        <v>-1</v>
      </c>
      <c r="M205" s="3">
        <v>102</v>
      </c>
    </row>
    <row r="206" spans="3:13" x14ac:dyDescent="0.2">
      <c r="C206">
        <v>1128</v>
      </c>
      <c r="D206">
        <v>38.988101</v>
      </c>
      <c r="E206">
        <v>-77.082361000000006</v>
      </c>
      <c r="F206">
        <v>152</v>
      </c>
      <c r="G206">
        <v>3.3889999999999998</v>
      </c>
      <c r="I206" t="s">
        <v>137</v>
      </c>
      <c r="J206">
        <v>755197</v>
      </c>
      <c r="K206">
        <v>117966</v>
      </c>
      <c r="L206" s="3">
        <v>-1</v>
      </c>
      <c r="M206" s="3">
        <v>102</v>
      </c>
    </row>
    <row r="207" spans="3:13" x14ac:dyDescent="0.2">
      <c r="C207">
        <v>1128</v>
      </c>
      <c r="D207">
        <v>38.988131000000003</v>
      </c>
      <c r="E207">
        <v>-77.082367000000005</v>
      </c>
      <c r="F207">
        <v>153</v>
      </c>
      <c r="G207">
        <v>3.3910999999999998</v>
      </c>
      <c r="I207" t="s">
        <v>137</v>
      </c>
      <c r="J207">
        <v>755197</v>
      </c>
      <c r="K207">
        <v>755198</v>
      </c>
      <c r="L207" s="3">
        <v>-1</v>
      </c>
      <c r="M207" s="3">
        <v>102</v>
      </c>
    </row>
    <row r="208" spans="3:13" x14ac:dyDescent="0.2">
      <c r="C208">
        <v>1128</v>
      </c>
      <c r="D208">
        <v>38.988098000000001</v>
      </c>
      <c r="E208">
        <v>-77.082381999999996</v>
      </c>
      <c r="F208">
        <v>154</v>
      </c>
      <c r="G208">
        <v>3.3934000000000002</v>
      </c>
      <c r="I208" t="s">
        <v>137</v>
      </c>
      <c r="J208">
        <v>755198</v>
      </c>
      <c r="K208">
        <v>117972</v>
      </c>
      <c r="L208" s="3">
        <v>-1</v>
      </c>
      <c r="M208" s="3">
        <v>102</v>
      </c>
    </row>
    <row r="209" spans="3:13" x14ac:dyDescent="0.2">
      <c r="C209">
        <v>1128</v>
      </c>
      <c r="D209">
        <v>38.988017999999997</v>
      </c>
      <c r="E209">
        <v>-77.082650999999998</v>
      </c>
      <c r="F209">
        <v>155</v>
      </c>
      <c r="G209">
        <v>3.4087000000000001</v>
      </c>
      <c r="I209" t="s">
        <v>137</v>
      </c>
      <c r="J209">
        <v>755198</v>
      </c>
      <c r="K209">
        <v>755197</v>
      </c>
      <c r="L209" s="3">
        <v>-1</v>
      </c>
      <c r="M209" s="3">
        <v>102</v>
      </c>
    </row>
    <row r="210" spans="3:13" x14ac:dyDescent="0.2">
      <c r="C210">
        <v>1128</v>
      </c>
      <c r="D210">
        <v>38.987938999999997</v>
      </c>
      <c r="E210">
        <v>-77.082841999999999</v>
      </c>
      <c r="F210">
        <v>156</v>
      </c>
      <c r="G210">
        <v>3.4203000000000001</v>
      </c>
      <c r="I210" t="s">
        <v>137</v>
      </c>
      <c r="J210">
        <v>755230</v>
      </c>
      <c r="K210">
        <v>117992</v>
      </c>
      <c r="L210" s="3">
        <v>-1</v>
      </c>
      <c r="M210" s="3">
        <v>102</v>
      </c>
    </row>
    <row r="211" spans="3:13" x14ac:dyDescent="0.2">
      <c r="C211">
        <v>1128</v>
      </c>
      <c r="D211">
        <v>38.987799000000003</v>
      </c>
      <c r="E211">
        <v>-77.083100999999999</v>
      </c>
      <c r="F211">
        <v>157</v>
      </c>
      <c r="G211">
        <v>3.4371</v>
      </c>
      <c r="I211" t="s">
        <v>137</v>
      </c>
      <c r="J211">
        <v>755230</v>
      </c>
      <c r="K211">
        <v>118212</v>
      </c>
      <c r="L211" s="3">
        <v>-1</v>
      </c>
      <c r="M211" s="3">
        <v>102</v>
      </c>
    </row>
    <row r="212" spans="3:13" x14ac:dyDescent="0.2">
      <c r="C212">
        <v>1128</v>
      </c>
      <c r="D212">
        <v>38.986739</v>
      </c>
      <c r="E212">
        <v>-77.084511000000006</v>
      </c>
      <c r="F212">
        <v>158</v>
      </c>
      <c r="G212">
        <v>3.5419</v>
      </c>
      <c r="I212" t="s">
        <v>137</v>
      </c>
      <c r="J212">
        <v>755231</v>
      </c>
      <c r="K212">
        <v>755232</v>
      </c>
      <c r="L212" s="3">
        <v>-1</v>
      </c>
      <c r="M212" s="3">
        <v>102</v>
      </c>
    </row>
    <row r="213" spans="3:13" x14ac:dyDescent="0.2">
      <c r="C213">
        <v>1128</v>
      </c>
      <c r="D213">
        <v>38.986319000000002</v>
      </c>
      <c r="E213">
        <v>-77.085560000000001</v>
      </c>
      <c r="F213">
        <v>159</v>
      </c>
      <c r="G213">
        <v>3.6049000000000002</v>
      </c>
      <c r="I213" t="s">
        <v>137</v>
      </c>
      <c r="J213">
        <v>755231</v>
      </c>
      <c r="K213">
        <v>755233</v>
      </c>
      <c r="L213" s="3">
        <v>-1</v>
      </c>
      <c r="M213" s="3">
        <v>102</v>
      </c>
    </row>
    <row r="214" spans="3:13" x14ac:dyDescent="0.2">
      <c r="C214">
        <v>1128</v>
      </c>
      <c r="D214">
        <v>38.986040000000003</v>
      </c>
      <c r="E214">
        <v>-77.086462999999995</v>
      </c>
      <c r="F214">
        <v>160</v>
      </c>
      <c r="G214">
        <v>3.6568000000000001</v>
      </c>
      <c r="I214" t="s">
        <v>137</v>
      </c>
      <c r="J214">
        <v>755232</v>
      </c>
      <c r="K214">
        <v>118216</v>
      </c>
      <c r="L214" s="3">
        <v>-1</v>
      </c>
      <c r="M214" s="3">
        <v>102</v>
      </c>
    </row>
    <row r="215" spans="3:13" x14ac:dyDescent="0.2">
      <c r="C215">
        <v>1128</v>
      </c>
      <c r="D215">
        <v>38.985878</v>
      </c>
      <c r="E215">
        <v>-77.087081999999995</v>
      </c>
      <c r="F215">
        <v>161</v>
      </c>
      <c r="G215">
        <v>3.6917</v>
      </c>
      <c r="I215" t="s">
        <v>137</v>
      </c>
      <c r="J215">
        <v>755232</v>
      </c>
      <c r="K215">
        <v>755231</v>
      </c>
      <c r="L215" s="3">
        <v>-1</v>
      </c>
      <c r="M215" s="3">
        <v>102</v>
      </c>
    </row>
    <row r="216" spans="3:13" x14ac:dyDescent="0.2">
      <c r="C216">
        <v>1128</v>
      </c>
      <c r="D216">
        <v>38.985751999999998</v>
      </c>
      <c r="E216">
        <v>-77.087491999999997</v>
      </c>
      <c r="F216">
        <v>162</v>
      </c>
      <c r="G216">
        <v>3.7151999999999998</v>
      </c>
      <c r="I216" t="s">
        <v>137</v>
      </c>
      <c r="J216">
        <v>755233</v>
      </c>
      <c r="K216">
        <v>118212</v>
      </c>
      <c r="L216" s="3">
        <v>-1</v>
      </c>
      <c r="M216" s="3">
        <v>102</v>
      </c>
    </row>
    <row r="217" spans="3:13" x14ac:dyDescent="0.2">
      <c r="C217">
        <v>1128</v>
      </c>
      <c r="D217">
        <v>38.985736000000003</v>
      </c>
      <c r="E217">
        <v>-77.087481999999994</v>
      </c>
      <c r="F217">
        <v>163</v>
      </c>
      <c r="G217">
        <v>3.7162999999999999</v>
      </c>
      <c r="I217" t="s">
        <v>137</v>
      </c>
      <c r="J217">
        <v>755233</v>
      </c>
      <c r="K217">
        <v>755231</v>
      </c>
      <c r="L217" s="3">
        <v>-1</v>
      </c>
      <c r="M217" s="3">
        <v>102</v>
      </c>
    </row>
    <row r="218" spans="3:13" x14ac:dyDescent="0.2">
      <c r="C218">
        <v>1128</v>
      </c>
      <c r="D218">
        <v>38.985678</v>
      </c>
      <c r="E218">
        <v>-77.087743000000003</v>
      </c>
      <c r="F218">
        <v>164</v>
      </c>
      <c r="G218">
        <v>3.7307000000000001</v>
      </c>
      <c r="I218" t="s">
        <v>137</v>
      </c>
      <c r="J218">
        <v>755323</v>
      </c>
      <c r="K218">
        <v>119071</v>
      </c>
      <c r="L218" s="3">
        <v>-1</v>
      </c>
      <c r="M218" s="3">
        <v>102</v>
      </c>
    </row>
    <row r="219" spans="3:13" x14ac:dyDescent="0.2">
      <c r="C219">
        <v>1128</v>
      </c>
      <c r="D219">
        <v>38.985489000000001</v>
      </c>
      <c r="E219">
        <v>-77.088432999999995</v>
      </c>
      <c r="F219">
        <v>165</v>
      </c>
      <c r="G219">
        <v>3.7696999999999998</v>
      </c>
      <c r="I219" t="s">
        <v>137</v>
      </c>
      <c r="J219">
        <v>755324</v>
      </c>
      <c r="K219">
        <v>118216</v>
      </c>
      <c r="L219" s="3">
        <v>-1</v>
      </c>
      <c r="M219" s="3">
        <v>102</v>
      </c>
    </row>
    <row r="220" spans="3:13" x14ac:dyDescent="0.2">
      <c r="C220">
        <v>1128</v>
      </c>
      <c r="D220">
        <v>38.985379999999999</v>
      </c>
      <c r="E220">
        <v>-77.088920999999999</v>
      </c>
      <c r="F220">
        <v>166</v>
      </c>
      <c r="G220">
        <v>3.7968000000000002</v>
      </c>
      <c r="I220" t="s">
        <v>137</v>
      </c>
      <c r="J220">
        <v>755334</v>
      </c>
      <c r="K220">
        <v>118216</v>
      </c>
      <c r="L220" s="3">
        <v>-1</v>
      </c>
      <c r="M220" s="3">
        <v>102</v>
      </c>
    </row>
    <row r="221" spans="3:13" x14ac:dyDescent="0.2">
      <c r="C221">
        <v>1128</v>
      </c>
      <c r="D221">
        <v>38.985289000000002</v>
      </c>
      <c r="E221">
        <v>-77.089472000000001</v>
      </c>
      <c r="F221">
        <v>167</v>
      </c>
      <c r="G221">
        <v>3.8269000000000002</v>
      </c>
      <c r="I221" t="s">
        <v>137</v>
      </c>
      <c r="J221">
        <v>755334</v>
      </c>
      <c r="K221">
        <v>119080</v>
      </c>
      <c r="L221" s="3">
        <v>-1</v>
      </c>
      <c r="M221" s="3">
        <v>102</v>
      </c>
    </row>
    <row r="222" spans="3:13" x14ac:dyDescent="0.2">
      <c r="C222">
        <v>1128</v>
      </c>
      <c r="D222">
        <v>38.985073</v>
      </c>
      <c r="E222">
        <v>-77.090973000000005</v>
      </c>
      <c r="F222">
        <v>168</v>
      </c>
      <c r="G222">
        <v>3.9087000000000001</v>
      </c>
      <c r="I222" t="s">
        <v>137</v>
      </c>
      <c r="J222">
        <v>755335</v>
      </c>
      <c r="K222">
        <v>119075</v>
      </c>
      <c r="L222" s="3">
        <v>-1</v>
      </c>
      <c r="M222" s="3">
        <v>102</v>
      </c>
    </row>
    <row r="223" spans="3:13" x14ac:dyDescent="0.2">
      <c r="C223">
        <v>1128</v>
      </c>
      <c r="D223">
        <v>38.985146999999998</v>
      </c>
      <c r="E223">
        <v>-77.090986999999998</v>
      </c>
      <c r="F223">
        <v>169</v>
      </c>
      <c r="G223">
        <v>3.9138000000000002</v>
      </c>
      <c r="I223" t="s">
        <v>137</v>
      </c>
      <c r="J223">
        <v>755335</v>
      </c>
      <c r="K223">
        <v>119080</v>
      </c>
      <c r="L223" s="3">
        <v>-1</v>
      </c>
      <c r="M223" s="3">
        <v>102</v>
      </c>
    </row>
    <row r="224" spans="3:13" x14ac:dyDescent="0.2">
      <c r="C224">
        <v>1128</v>
      </c>
      <c r="D224">
        <v>38.985059</v>
      </c>
      <c r="E224">
        <v>-77.091071999999997</v>
      </c>
      <c r="F224">
        <v>170</v>
      </c>
      <c r="G224">
        <v>3.9214000000000002</v>
      </c>
      <c r="I224" t="s">
        <v>137</v>
      </c>
      <c r="J224">
        <v>755417</v>
      </c>
      <c r="K224">
        <v>118176</v>
      </c>
      <c r="L224" s="3">
        <v>-1</v>
      </c>
      <c r="M224" s="3">
        <v>102</v>
      </c>
    </row>
    <row r="225" spans="3:13" x14ac:dyDescent="0.2">
      <c r="C225">
        <v>1128</v>
      </c>
      <c r="D225">
        <v>38.984892000000002</v>
      </c>
      <c r="E225">
        <v>-77.092254999999994</v>
      </c>
      <c r="F225">
        <v>171</v>
      </c>
      <c r="G225">
        <v>3.9857999999999998</v>
      </c>
      <c r="I225" t="s">
        <v>137</v>
      </c>
      <c r="J225">
        <v>755417</v>
      </c>
      <c r="K225">
        <v>755418</v>
      </c>
      <c r="L225" s="3">
        <v>-1</v>
      </c>
      <c r="M225" s="3">
        <v>102</v>
      </c>
    </row>
    <row r="226" spans="3:13" x14ac:dyDescent="0.2">
      <c r="C226">
        <v>1128</v>
      </c>
      <c r="D226">
        <v>38.984907999999997</v>
      </c>
      <c r="E226">
        <v>-77.092258999999999</v>
      </c>
      <c r="F226">
        <v>172</v>
      </c>
      <c r="G226">
        <v>3.9868999999999999</v>
      </c>
      <c r="I226" t="s">
        <v>137</v>
      </c>
      <c r="J226">
        <v>755418</v>
      </c>
      <c r="K226">
        <v>117984</v>
      </c>
      <c r="L226" s="3">
        <v>-1</v>
      </c>
      <c r="M226" s="3">
        <v>102</v>
      </c>
    </row>
    <row r="227" spans="3:13" x14ac:dyDescent="0.2">
      <c r="C227">
        <v>1128</v>
      </c>
      <c r="D227">
        <v>38.984839999999998</v>
      </c>
      <c r="E227">
        <v>-77.092633000000006</v>
      </c>
      <c r="F227">
        <v>173</v>
      </c>
      <c r="G227">
        <v>4.0073999999999996</v>
      </c>
      <c r="I227" t="s">
        <v>137</v>
      </c>
      <c r="J227">
        <v>755418</v>
      </c>
      <c r="K227">
        <v>755417</v>
      </c>
      <c r="L227" s="3">
        <v>-1</v>
      </c>
      <c r="M227" s="3">
        <v>102</v>
      </c>
    </row>
    <row r="228" spans="3:13" x14ac:dyDescent="0.2">
      <c r="C228">
        <v>1128</v>
      </c>
      <c r="D228">
        <v>38.984689000000003</v>
      </c>
      <c r="E228">
        <v>-77.093530999999999</v>
      </c>
      <c r="F228">
        <v>174</v>
      </c>
      <c r="G228">
        <v>4.0564</v>
      </c>
      <c r="I228" t="s">
        <v>137</v>
      </c>
      <c r="J228">
        <v>755419</v>
      </c>
      <c r="K228">
        <v>117984</v>
      </c>
      <c r="L228" s="3">
        <v>-1</v>
      </c>
      <c r="M228" s="3">
        <v>102</v>
      </c>
    </row>
    <row r="229" spans="3:13" x14ac:dyDescent="0.2">
      <c r="C229">
        <v>1128</v>
      </c>
      <c r="D229">
        <v>38.984588000000002</v>
      </c>
      <c r="E229">
        <v>-77.094201999999996</v>
      </c>
      <c r="F229">
        <v>175</v>
      </c>
      <c r="G229">
        <v>4.093</v>
      </c>
      <c r="I229" t="s">
        <v>137</v>
      </c>
      <c r="J229">
        <v>755419</v>
      </c>
      <c r="K229">
        <v>117987</v>
      </c>
      <c r="L229" s="3">
        <v>-1</v>
      </c>
      <c r="M229" s="3">
        <v>102</v>
      </c>
    </row>
    <row r="230" spans="3:13" x14ac:dyDescent="0.2">
      <c r="C230">
        <v>1128</v>
      </c>
      <c r="D230">
        <v>38.984357000000003</v>
      </c>
      <c r="E230">
        <v>-77.094190999999995</v>
      </c>
      <c r="F230">
        <v>176</v>
      </c>
      <c r="G230">
        <v>4.1089000000000002</v>
      </c>
      <c r="I230" t="s">
        <v>137</v>
      </c>
      <c r="J230">
        <v>755420</v>
      </c>
      <c r="K230">
        <v>118184</v>
      </c>
      <c r="L230" s="3">
        <v>-1</v>
      </c>
      <c r="M230" s="3">
        <v>102</v>
      </c>
    </row>
    <row r="231" spans="3:13" x14ac:dyDescent="0.2">
      <c r="C231">
        <v>1128</v>
      </c>
      <c r="D231">
        <v>38.98424</v>
      </c>
      <c r="E231">
        <v>-77.094160000000002</v>
      </c>
      <c r="F231">
        <v>177</v>
      </c>
      <c r="G231">
        <v>4.117</v>
      </c>
      <c r="I231" t="s">
        <v>137</v>
      </c>
      <c r="J231">
        <v>9</v>
      </c>
      <c r="K231">
        <v>103858</v>
      </c>
      <c r="L231" s="3">
        <v>-1</v>
      </c>
      <c r="M231" s="3">
        <v>103</v>
      </c>
    </row>
    <row r="232" spans="3:13" x14ac:dyDescent="0.2">
      <c r="C232">
        <v>1128</v>
      </c>
      <c r="D232">
        <v>38.984113999999998</v>
      </c>
      <c r="E232">
        <v>-77.094122999999996</v>
      </c>
      <c r="F232">
        <v>178</v>
      </c>
      <c r="G232">
        <v>4.1258999999999997</v>
      </c>
      <c r="I232" t="s">
        <v>137</v>
      </c>
      <c r="J232">
        <v>9</v>
      </c>
      <c r="K232">
        <v>109112</v>
      </c>
      <c r="L232" s="3">
        <v>-1</v>
      </c>
      <c r="M232" s="3">
        <v>103</v>
      </c>
    </row>
    <row r="233" spans="3:13" x14ac:dyDescent="0.2">
      <c r="C233">
        <v>1128</v>
      </c>
      <c r="D233">
        <v>38.98424</v>
      </c>
      <c r="E233">
        <v>-77.094160000000002</v>
      </c>
      <c r="F233">
        <v>179</v>
      </c>
      <c r="G233">
        <v>4.1348000000000003</v>
      </c>
      <c r="I233" t="s">
        <v>137</v>
      </c>
      <c r="J233">
        <v>9</v>
      </c>
      <c r="K233">
        <v>756157</v>
      </c>
      <c r="L233" s="3">
        <v>-1</v>
      </c>
      <c r="M233" s="3">
        <v>103</v>
      </c>
    </row>
    <row r="234" spans="3:13" x14ac:dyDescent="0.2">
      <c r="C234">
        <v>1128</v>
      </c>
      <c r="D234">
        <v>38.984357000000003</v>
      </c>
      <c r="E234">
        <v>-77.094190999999995</v>
      </c>
      <c r="F234">
        <v>180</v>
      </c>
      <c r="G234">
        <v>4.1429999999999998</v>
      </c>
      <c r="I234" t="s">
        <v>137</v>
      </c>
      <c r="J234">
        <v>103306</v>
      </c>
      <c r="K234">
        <v>756050</v>
      </c>
      <c r="L234" s="3">
        <v>-1</v>
      </c>
      <c r="M234" s="3">
        <v>103</v>
      </c>
    </row>
    <row r="235" spans="3:13" x14ac:dyDescent="0.2">
      <c r="C235">
        <v>1128</v>
      </c>
      <c r="D235">
        <v>38.984588000000002</v>
      </c>
      <c r="E235">
        <v>-77.094201999999996</v>
      </c>
      <c r="F235">
        <v>181</v>
      </c>
      <c r="G235">
        <v>4.1589</v>
      </c>
      <c r="I235" t="s">
        <v>137</v>
      </c>
      <c r="J235">
        <v>103318</v>
      </c>
      <c r="K235">
        <v>103323</v>
      </c>
      <c r="L235" s="3">
        <v>-1</v>
      </c>
      <c r="M235" s="3">
        <v>103</v>
      </c>
    </row>
    <row r="236" spans="3:13" x14ac:dyDescent="0.2">
      <c r="C236">
        <v>1128</v>
      </c>
      <c r="D236">
        <v>38.984757999999999</v>
      </c>
      <c r="E236">
        <v>-77.094241999999994</v>
      </c>
      <c r="F236">
        <v>182</v>
      </c>
      <c r="G236">
        <v>4.1707999999999998</v>
      </c>
      <c r="I236" t="s">
        <v>137</v>
      </c>
      <c r="J236">
        <v>103318</v>
      </c>
      <c r="K236">
        <v>231119</v>
      </c>
      <c r="L236" s="3">
        <v>-1</v>
      </c>
      <c r="M236" s="3">
        <v>103</v>
      </c>
    </row>
    <row r="237" spans="3:13" x14ac:dyDescent="0.2">
      <c r="C237">
        <v>1128</v>
      </c>
      <c r="D237">
        <v>38.984878000000002</v>
      </c>
      <c r="E237">
        <v>-77.094480000000004</v>
      </c>
      <c r="F237">
        <v>183</v>
      </c>
      <c r="G237">
        <v>4.1859999999999999</v>
      </c>
      <c r="I237" t="s">
        <v>137</v>
      </c>
      <c r="J237">
        <v>103318</v>
      </c>
      <c r="K237">
        <v>756050</v>
      </c>
      <c r="L237" s="3">
        <v>-1</v>
      </c>
      <c r="M237" s="3">
        <v>103</v>
      </c>
    </row>
    <row r="238" spans="3:13" x14ac:dyDescent="0.2">
      <c r="C238">
        <v>1128</v>
      </c>
      <c r="D238">
        <v>38.985137999999999</v>
      </c>
      <c r="E238">
        <v>-77.094909999999999</v>
      </c>
      <c r="F238">
        <v>184</v>
      </c>
      <c r="G238">
        <v>4.2153</v>
      </c>
      <c r="I238" t="s">
        <v>137</v>
      </c>
      <c r="J238">
        <v>103323</v>
      </c>
      <c r="K238">
        <v>103318</v>
      </c>
      <c r="L238" s="3">
        <v>-1</v>
      </c>
      <c r="M238" s="3">
        <v>103</v>
      </c>
    </row>
    <row r="239" spans="3:13" x14ac:dyDescent="0.2">
      <c r="C239">
        <v>1128</v>
      </c>
      <c r="D239">
        <v>38.985399000000001</v>
      </c>
      <c r="E239">
        <v>-77.095330000000004</v>
      </c>
      <c r="F239">
        <v>185</v>
      </c>
      <c r="G239">
        <v>4.2443</v>
      </c>
      <c r="I239" t="s">
        <v>137</v>
      </c>
      <c r="J239">
        <v>103323</v>
      </c>
      <c r="K239">
        <v>327532</v>
      </c>
      <c r="L239" s="3">
        <v>-1</v>
      </c>
      <c r="M239" s="3">
        <v>103</v>
      </c>
    </row>
    <row r="240" spans="3:13" x14ac:dyDescent="0.2">
      <c r="C240">
        <v>1128</v>
      </c>
      <c r="D240">
        <v>38.985629000000003</v>
      </c>
      <c r="E240">
        <v>-77.095682999999994</v>
      </c>
      <c r="F240">
        <v>186</v>
      </c>
      <c r="G240">
        <v>4.2690999999999999</v>
      </c>
      <c r="I240" t="s">
        <v>137</v>
      </c>
      <c r="J240">
        <v>103817</v>
      </c>
      <c r="K240">
        <v>756750</v>
      </c>
      <c r="L240" s="3">
        <v>-1</v>
      </c>
      <c r="M240" s="3">
        <v>103</v>
      </c>
    </row>
    <row r="241" spans="3:13" x14ac:dyDescent="0.2">
      <c r="C241">
        <v>1128</v>
      </c>
      <c r="D241">
        <v>38.986248000000003</v>
      </c>
      <c r="E241">
        <v>-77.096722</v>
      </c>
      <c r="F241">
        <v>187</v>
      </c>
      <c r="G241">
        <v>4.3398000000000003</v>
      </c>
      <c r="I241" t="s">
        <v>137</v>
      </c>
      <c r="J241">
        <v>103819</v>
      </c>
      <c r="K241">
        <v>756057</v>
      </c>
      <c r="L241" s="3">
        <v>-1</v>
      </c>
      <c r="M241" s="3">
        <v>103</v>
      </c>
    </row>
    <row r="242" spans="3:13" x14ac:dyDescent="0.2">
      <c r="C242">
        <v>1128</v>
      </c>
      <c r="D242">
        <v>38.986258999999997</v>
      </c>
      <c r="E242">
        <v>-77.096765000000005</v>
      </c>
      <c r="F242">
        <v>188</v>
      </c>
      <c r="G242">
        <v>4.3419999999999996</v>
      </c>
      <c r="I242" t="s">
        <v>137</v>
      </c>
      <c r="J242">
        <v>103819</v>
      </c>
      <c r="K242">
        <v>756750</v>
      </c>
      <c r="L242" s="3">
        <v>-1</v>
      </c>
      <c r="M242" s="3">
        <v>103</v>
      </c>
    </row>
    <row r="243" spans="3:13" x14ac:dyDescent="0.2">
      <c r="C243">
        <v>1128</v>
      </c>
      <c r="D243">
        <v>38.986248000000003</v>
      </c>
      <c r="E243">
        <v>-77.096722</v>
      </c>
      <c r="F243">
        <v>189</v>
      </c>
      <c r="G243">
        <v>4.3442999999999996</v>
      </c>
      <c r="I243" t="s">
        <v>137</v>
      </c>
      <c r="J243">
        <v>103829</v>
      </c>
      <c r="K243">
        <v>756039</v>
      </c>
      <c r="L243" s="3">
        <v>-1</v>
      </c>
      <c r="M243" s="3">
        <v>103</v>
      </c>
    </row>
    <row r="244" spans="3:13" x14ac:dyDescent="0.2">
      <c r="C244">
        <v>1128</v>
      </c>
      <c r="D244">
        <v>38.986750000000001</v>
      </c>
      <c r="E244">
        <v>-77.096211999999994</v>
      </c>
      <c r="F244">
        <v>190</v>
      </c>
      <c r="G244">
        <v>4.3883000000000001</v>
      </c>
      <c r="I244" t="s">
        <v>137</v>
      </c>
      <c r="J244">
        <v>103829</v>
      </c>
      <c r="K244">
        <v>756040</v>
      </c>
      <c r="L244" s="3">
        <v>-1</v>
      </c>
      <c r="M244" s="3">
        <v>103</v>
      </c>
    </row>
    <row r="245" spans="3:13" x14ac:dyDescent="0.2">
      <c r="C245">
        <v>1128</v>
      </c>
      <c r="D245">
        <v>38.986897999999997</v>
      </c>
      <c r="E245">
        <v>-77.096072000000007</v>
      </c>
      <c r="F245">
        <v>191</v>
      </c>
      <c r="G245">
        <v>4.4008000000000003</v>
      </c>
      <c r="I245" t="s">
        <v>137</v>
      </c>
      <c r="J245">
        <v>103834</v>
      </c>
      <c r="K245">
        <v>103836</v>
      </c>
      <c r="L245" s="3">
        <v>-1</v>
      </c>
      <c r="M245" s="3">
        <v>103</v>
      </c>
    </row>
    <row r="246" spans="3:13" x14ac:dyDescent="0.2">
      <c r="C246">
        <v>1128</v>
      </c>
      <c r="D246">
        <v>38.987098000000003</v>
      </c>
      <c r="E246">
        <v>-77.095961000000003</v>
      </c>
      <c r="F246">
        <v>192</v>
      </c>
      <c r="G246">
        <v>4.4157000000000002</v>
      </c>
      <c r="I246" t="s">
        <v>137</v>
      </c>
      <c r="J246">
        <v>103834</v>
      </c>
      <c r="K246">
        <v>756039</v>
      </c>
      <c r="L246" s="3">
        <v>-1</v>
      </c>
      <c r="M246" s="3">
        <v>103</v>
      </c>
    </row>
    <row r="247" spans="3:13" x14ac:dyDescent="0.2">
      <c r="C247">
        <v>1128</v>
      </c>
      <c r="D247">
        <v>38.987380000000002</v>
      </c>
      <c r="E247">
        <v>-77.095961000000003</v>
      </c>
      <c r="F247">
        <v>193</v>
      </c>
      <c r="G247">
        <v>4.4352</v>
      </c>
      <c r="I247" t="s">
        <v>137</v>
      </c>
      <c r="J247">
        <v>103836</v>
      </c>
      <c r="K247">
        <v>103834</v>
      </c>
      <c r="L247" s="3">
        <v>-1</v>
      </c>
      <c r="M247" s="3">
        <v>103</v>
      </c>
    </row>
    <row r="248" spans="3:13" x14ac:dyDescent="0.2">
      <c r="C248">
        <v>1128</v>
      </c>
      <c r="D248">
        <v>38.987806999999997</v>
      </c>
      <c r="E248">
        <v>-77.096011000000004</v>
      </c>
      <c r="F248">
        <v>194</v>
      </c>
      <c r="G248">
        <v>4.4648000000000003</v>
      </c>
      <c r="I248" t="s">
        <v>137</v>
      </c>
      <c r="J248">
        <v>103836</v>
      </c>
      <c r="K248">
        <v>103837</v>
      </c>
      <c r="L248" s="3">
        <v>-1</v>
      </c>
      <c r="M248" s="3">
        <v>103</v>
      </c>
    </row>
    <row r="249" spans="3:13" x14ac:dyDescent="0.2">
      <c r="C249">
        <v>1128</v>
      </c>
      <c r="D249">
        <v>38.988177</v>
      </c>
      <c r="E249">
        <v>-77.096063000000001</v>
      </c>
      <c r="F249">
        <v>195</v>
      </c>
      <c r="G249">
        <v>4.4903000000000004</v>
      </c>
      <c r="I249" t="s">
        <v>137</v>
      </c>
      <c r="J249">
        <v>103836</v>
      </c>
      <c r="K249">
        <v>109885</v>
      </c>
      <c r="L249" s="3">
        <v>-1</v>
      </c>
      <c r="M249" s="3">
        <v>103</v>
      </c>
    </row>
    <row r="250" spans="3:13" x14ac:dyDescent="0.2">
      <c r="C250">
        <v>1128</v>
      </c>
      <c r="D250">
        <v>38.988227000000002</v>
      </c>
      <c r="E250">
        <v>-77.096058999999997</v>
      </c>
      <c r="F250">
        <v>196</v>
      </c>
      <c r="G250">
        <v>4.4938000000000002</v>
      </c>
      <c r="I250" t="s">
        <v>137</v>
      </c>
      <c r="J250">
        <v>103836</v>
      </c>
      <c r="K250">
        <v>756058</v>
      </c>
      <c r="L250" s="3">
        <v>-1</v>
      </c>
      <c r="M250" s="3">
        <v>103</v>
      </c>
    </row>
    <row r="251" spans="3:13" x14ac:dyDescent="0.2">
      <c r="C251">
        <v>1128</v>
      </c>
      <c r="D251">
        <v>38.988177</v>
      </c>
      <c r="E251">
        <v>-77.096063000000001</v>
      </c>
      <c r="F251">
        <v>197</v>
      </c>
      <c r="G251">
        <v>4.4972000000000003</v>
      </c>
      <c r="I251" t="s">
        <v>137</v>
      </c>
      <c r="J251">
        <v>103837</v>
      </c>
      <c r="K251">
        <v>103836</v>
      </c>
      <c r="L251" s="3">
        <v>-1</v>
      </c>
      <c r="M251" s="3">
        <v>103</v>
      </c>
    </row>
    <row r="252" spans="3:13" x14ac:dyDescent="0.2">
      <c r="C252">
        <v>1128</v>
      </c>
      <c r="D252">
        <v>38.988261999999999</v>
      </c>
      <c r="E252">
        <v>-77.095093000000006</v>
      </c>
      <c r="F252">
        <v>198</v>
      </c>
      <c r="G252">
        <v>4.5494000000000003</v>
      </c>
      <c r="I252" t="s">
        <v>137</v>
      </c>
      <c r="J252">
        <v>103837</v>
      </c>
      <c r="K252">
        <v>103842</v>
      </c>
      <c r="L252" s="3">
        <v>-1</v>
      </c>
      <c r="M252" s="3">
        <v>103</v>
      </c>
    </row>
    <row r="253" spans="3:13" x14ac:dyDescent="0.2">
      <c r="C253">
        <v>1128</v>
      </c>
      <c r="D253">
        <v>38.988242999999997</v>
      </c>
      <c r="E253">
        <v>-77.095089000000002</v>
      </c>
      <c r="F253">
        <v>199</v>
      </c>
      <c r="G253">
        <v>4.5507999999999997</v>
      </c>
      <c r="I253" t="s">
        <v>137</v>
      </c>
      <c r="J253">
        <v>103842</v>
      </c>
      <c r="K253">
        <v>103837</v>
      </c>
      <c r="L253" s="3">
        <v>-1</v>
      </c>
      <c r="M253" s="3">
        <v>103</v>
      </c>
    </row>
    <row r="254" spans="3:13" x14ac:dyDescent="0.2">
      <c r="C254">
        <v>1128</v>
      </c>
      <c r="D254">
        <v>38.988267999999998</v>
      </c>
      <c r="E254">
        <v>-77.095050000000001</v>
      </c>
      <c r="F254">
        <v>200</v>
      </c>
      <c r="G254">
        <v>4.5533999999999999</v>
      </c>
      <c r="I254" t="s">
        <v>137</v>
      </c>
      <c r="J254">
        <v>103842</v>
      </c>
      <c r="K254">
        <v>103845</v>
      </c>
      <c r="L254" s="3">
        <v>-1</v>
      </c>
      <c r="M254" s="3">
        <v>103</v>
      </c>
    </row>
    <row r="255" spans="3:13" x14ac:dyDescent="0.2">
      <c r="C255">
        <v>1128</v>
      </c>
      <c r="D255">
        <v>38.988987999999999</v>
      </c>
      <c r="E255">
        <v>-77.095209999999994</v>
      </c>
      <c r="F255">
        <v>201</v>
      </c>
      <c r="G255">
        <v>4.6040000000000001</v>
      </c>
      <c r="I255" t="s">
        <v>137</v>
      </c>
      <c r="J255">
        <v>103845</v>
      </c>
      <c r="K255">
        <v>103842</v>
      </c>
      <c r="L255" s="3">
        <v>-1</v>
      </c>
      <c r="M255" s="3">
        <v>103</v>
      </c>
    </row>
    <row r="256" spans="3:13" x14ac:dyDescent="0.2">
      <c r="C256">
        <v>1128</v>
      </c>
      <c r="D256">
        <v>38.989539000000001</v>
      </c>
      <c r="E256">
        <v>-77.095330000000004</v>
      </c>
      <c r="F256">
        <v>202</v>
      </c>
      <c r="G256">
        <v>4.6425999999999998</v>
      </c>
      <c r="I256" t="s">
        <v>137</v>
      </c>
      <c r="J256">
        <v>103845</v>
      </c>
      <c r="K256">
        <v>108109</v>
      </c>
      <c r="L256" s="3">
        <v>-1</v>
      </c>
      <c r="M256" s="3">
        <v>103</v>
      </c>
    </row>
    <row r="257" spans="3:13" x14ac:dyDescent="0.2">
      <c r="C257">
        <v>1128</v>
      </c>
      <c r="D257">
        <v>38.990183000000002</v>
      </c>
      <c r="E257">
        <v>-77.095470000000006</v>
      </c>
      <c r="F257">
        <v>203</v>
      </c>
      <c r="G257">
        <v>4.6877000000000004</v>
      </c>
      <c r="I257" t="s">
        <v>137</v>
      </c>
      <c r="J257">
        <v>103845</v>
      </c>
      <c r="K257">
        <v>756011</v>
      </c>
      <c r="L257" s="3">
        <v>-1</v>
      </c>
      <c r="M257" s="3">
        <v>103</v>
      </c>
    </row>
    <row r="258" spans="3:13" x14ac:dyDescent="0.2">
      <c r="C258">
        <v>1128</v>
      </c>
      <c r="D258">
        <v>38.990194000000002</v>
      </c>
      <c r="E258">
        <v>-77.095399</v>
      </c>
      <c r="F258">
        <v>204</v>
      </c>
      <c r="G258">
        <v>4.6914999999999996</v>
      </c>
      <c r="I258" t="s">
        <v>137</v>
      </c>
      <c r="J258">
        <v>103847</v>
      </c>
      <c r="K258">
        <v>103848</v>
      </c>
      <c r="L258" s="3">
        <v>-1</v>
      </c>
      <c r="M258" s="3">
        <v>103</v>
      </c>
    </row>
    <row r="259" spans="3:13" x14ac:dyDescent="0.2">
      <c r="C259">
        <v>1128</v>
      </c>
      <c r="D259">
        <v>38.990538999999998</v>
      </c>
      <c r="E259">
        <v>-77.095543000000006</v>
      </c>
      <c r="F259">
        <v>205</v>
      </c>
      <c r="G259">
        <v>4.7164999999999999</v>
      </c>
      <c r="I259" t="s">
        <v>137</v>
      </c>
      <c r="J259">
        <v>103847</v>
      </c>
      <c r="K259">
        <v>756011</v>
      </c>
      <c r="L259" s="3">
        <v>-1</v>
      </c>
      <c r="M259" s="3">
        <v>103</v>
      </c>
    </row>
    <row r="260" spans="3:13" x14ac:dyDescent="0.2">
      <c r="C260">
        <v>1128</v>
      </c>
      <c r="D260">
        <v>38.990969999999997</v>
      </c>
      <c r="E260">
        <v>-77.095633000000007</v>
      </c>
      <c r="F260">
        <v>206</v>
      </c>
      <c r="G260">
        <v>4.7465999999999999</v>
      </c>
      <c r="I260" t="s">
        <v>137</v>
      </c>
      <c r="J260">
        <v>103847</v>
      </c>
      <c r="K260">
        <v>756157</v>
      </c>
      <c r="L260" s="3">
        <v>-1</v>
      </c>
      <c r="M260" s="3">
        <v>103</v>
      </c>
    </row>
    <row r="261" spans="3:13" x14ac:dyDescent="0.2">
      <c r="C261">
        <v>1128</v>
      </c>
      <c r="D261">
        <v>38.991219000000001</v>
      </c>
      <c r="E261">
        <v>-77.095681999999996</v>
      </c>
      <c r="F261">
        <v>207</v>
      </c>
      <c r="G261">
        <v>4.7640000000000002</v>
      </c>
      <c r="I261" t="s">
        <v>137</v>
      </c>
      <c r="J261">
        <v>103848</v>
      </c>
      <c r="K261">
        <v>103847</v>
      </c>
      <c r="L261" s="3">
        <v>-1</v>
      </c>
      <c r="M261" s="3">
        <v>103</v>
      </c>
    </row>
    <row r="262" spans="3:13" x14ac:dyDescent="0.2">
      <c r="C262">
        <v>1128</v>
      </c>
      <c r="D262">
        <v>38.991249000000003</v>
      </c>
      <c r="E262">
        <v>-77.095692999999997</v>
      </c>
      <c r="F262">
        <v>208</v>
      </c>
      <c r="G262">
        <v>4.7660999999999998</v>
      </c>
      <c r="I262" t="s">
        <v>137</v>
      </c>
      <c r="J262">
        <v>103848</v>
      </c>
      <c r="K262">
        <v>103852</v>
      </c>
      <c r="L262" s="3">
        <v>-1</v>
      </c>
      <c r="M262" s="3">
        <v>103</v>
      </c>
    </row>
    <row r="263" spans="3:13" x14ac:dyDescent="0.2">
      <c r="C263">
        <v>1128</v>
      </c>
      <c r="D263">
        <v>38.991245999999997</v>
      </c>
      <c r="E263">
        <v>-77.095716999999993</v>
      </c>
      <c r="F263">
        <v>209</v>
      </c>
      <c r="G263">
        <v>4.7674000000000003</v>
      </c>
      <c r="I263" t="s">
        <v>137</v>
      </c>
      <c r="J263">
        <v>103848</v>
      </c>
      <c r="K263">
        <v>756156</v>
      </c>
      <c r="L263" s="3">
        <v>-1</v>
      </c>
      <c r="M263" s="3">
        <v>103</v>
      </c>
    </row>
    <row r="264" spans="3:13" x14ac:dyDescent="0.2">
      <c r="C264">
        <v>1128</v>
      </c>
      <c r="D264">
        <v>38.991917999999998</v>
      </c>
      <c r="E264">
        <v>-77.095843000000002</v>
      </c>
      <c r="F264">
        <v>210</v>
      </c>
      <c r="G264">
        <v>4.8141999999999996</v>
      </c>
      <c r="I264" t="s">
        <v>137</v>
      </c>
      <c r="J264">
        <v>103852</v>
      </c>
      <c r="K264">
        <v>103853</v>
      </c>
      <c r="L264" s="3">
        <v>-1</v>
      </c>
      <c r="M264" s="3">
        <v>103</v>
      </c>
    </row>
    <row r="265" spans="3:13" x14ac:dyDescent="0.2">
      <c r="C265">
        <v>1128</v>
      </c>
      <c r="D265">
        <v>38.992699000000002</v>
      </c>
      <c r="E265">
        <v>-77.096012000000002</v>
      </c>
      <c r="F265">
        <v>211</v>
      </c>
      <c r="G265">
        <v>4.8689</v>
      </c>
      <c r="I265" t="s">
        <v>137</v>
      </c>
      <c r="J265">
        <v>103853</v>
      </c>
      <c r="K265">
        <v>103856</v>
      </c>
      <c r="L265" s="3">
        <v>-1</v>
      </c>
      <c r="M265" s="3">
        <v>103</v>
      </c>
    </row>
    <row r="266" spans="3:13" x14ac:dyDescent="0.2">
      <c r="C266">
        <v>1128</v>
      </c>
      <c r="D266">
        <v>38.992797000000003</v>
      </c>
      <c r="E266">
        <v>-77.096031999999994</v>
      </c>
      <c r="F266">
        <v>212</v>
      </c>
      <c r="G266">
        <v>4.8757999999999999</v>
      </c>
      <c r="I266" t="s">
        <v>137</v>
      </c>
      <c r="J266">
        <v>103856</v>
      </c>
      <c r="K266">
        <v>103858</v>
      </c>
      <c r="L266" s="3">
        <v>-1</v>
      </c>
      <c r="M266" s="3">
        <v>103</v>
      </c>
    </row>
    <row r="267" spans="3:13" x14ac:dyDescent="0.2">
      <c r="C267">
        <v>1128</v>
      </c>
      <c r="D267">
        <v>38.993457999999997</v>
      </c>
      <c r="E267">
        <v>-77.096171999999996</v>
      </c>
      <c r="F267">
        <v>213</v>
      </c>
      <c r="G267">
        <v>4.9219999999999997</v>
      </c>
      <c r="I267" t="s">
        <v>137</v>
      </c>
      <c r="J267">
        <v>103858</v>
      </c>
      <c r="K267">
        <v>109112</v>
      </c>
      <c r="L267" s="3">
        <v>-1</v>
      </c>
      <c r="M267" s="3">
        <v>103</v>
      </c>
    </row>
    <row r="268" spans="3:13" x14ac:dyDescent="0.2">
      <c r="C268">
        <v>1128</v>
      </c>
      <c r="D268">
        <v>38.993465999999998</v>
      </c>
      <c r="E268">
        <v>-77.096207000000007</v>
      </c>
      <c r="F268">
        <v>214</v>
      </c>
      <c r="G268">
        <v>4.9238999999999997</v>
      </c>
      <c r="I268" t="s">
        <v>137</v>
      </c>
      <c r="J268">
        <v>103858</v>
      </c>
      <c r="K268">
        <v>756156</v>
      </c>
      <c r="L268" s="3">
        <v>-1</v>
      </c>
      <c r="M268" s="3">
        <v>103</v>
      </c>
    </row>
    <row r="269" spans="3:13" x14ac:dyDescent="0.2">
      <c r="C269">
        <v>1128</v>
      </c>
      <c r="D269">
        <v>38.994298999999998</v>
      </c>
      <c r="E269">
        <v>-77.096340999999995</v>
      </c>
      <c r="F269">
        <v>215</v>
      </c>
      <c r="G269">
        <v>4.9817999999999998</v>
      </c>
      <c r="I269" t="s">
        <v>137</v>
      </c>
      <c r="J269">
        <v>103865</v>
      </c>
      <c r="K269">
        <v>756038</v>
      </c>
      <c r="L269" s="3">
        <v>-1</v>
      </c>
      <c r="M269" s="3">
        <v>103</v>
      </c>
    </row>
    <row r="270" spans="3:13" x14ac:dyDescent="0.2">
      <c r="C270">
        <v>1128</v>
      </c>
      <c r="D270">
        <v>38.994383999999997</v>
      </c>
      <c r="E270">
        <v>-77.096361000000002</v>
      </c>
      <c r="F270">
        <v>216</v>
      </c>
      <c r="G270">
        <v>4.9877000000000002</v>
      </c>
      <c r="I270" t="s">
        <v>137</v>
      </c>
      <c r="J270">
        <v>103865</v>
      </c>
      <c r="K270">
        <v>756058</v>
      </c>
      <c r="L270" s="3">
        <v>-1</v>
      </c>
      <c r="M270" s="3">
        <v>103</v>
      </c>
    </row>
    <row r="271" spans="3:13" x14ac:dyDescent="0.2">
      <c r="C271">
        <v>1128</v>
      </c>
      <c r="D271">
        <v>38.994439</v>
      </c>
      <c r="E271">
        <v>-77.096352999999993</v>
      </c>
      <c r="F271">
        <v>217</v>
      </c>
      <c r="G271">
        <v>4.9915000000000003</v>
      </c>
      <c r="I271" t="s">
        <v>137</v>
      </c>
      <c r="J271">
        <v>103865</v>
      </c>
      <c r="K271">
        <v>757384</v>
      </c>
      <c r="L271" s="3">
        <v>-1</v>
      </c>
      <c r="M271" s="3">
        <v>103</v>
      </c>
    </row>
    <row r="272" spans="3:13" x14ac:dyDescent="0.2">
      <c r="C272">
        <v>1128</v>
      </c>
      <c r="D272">
        <v>38.995027999999998</v>
      </c>
      <c r="E272">
        <v>-77.096423000000001</v>
      </c>
      <c r="F272">
        <v>218</v>
      </c>
      <c r="G272">
        <v>5.0324</v>
      </c>
      <c r="I272" t="s">
        <v>137</v>
      </c>
      <c r="J272">
        <v>103874</v>
      </c>
      <c r="K272">
        <v>756038</v>
      </c>
      <c r="L272" s="3">
        <v>-1</v>
      </c>
      <c r="M272" s="3">
        <v>103</v>
      </c>
    </row>
    <row r="273" spans="3:13" x14ac:dyDescent="0.2">
      <c r="C273">
        <v>1128</v>
      </c>
      <c r="D273">
        <v>38.995159999999998</v>
      </c>
      <c r="E273">
        <v>-77.096442999999994</v>
      </c>
      <c r="F273">
        <v>219</v>
      </c>
      <c r="G273">
        <v>5.0415000000000001</v>
      </c>
      <c r="I273" t="s">
        <v>137</v>
      </c>
      <c r="J273">
        <v>103874</v>
      </c>
      <c r="K273">
        <v>756752</v>
      </c>
      <c r="L273" s="3">
        <v>-1</v>
      </c>
      <c r="M273" s="3">
        <v>103</v>
      </c>
    </row>
    <row r="274" spans="3:13" x14ac:dyDescent="0.2">
      <c r="C274">
        <v>1128</v>
      </c>
      <c r="D274">
        <v>38.995359999999998</v>
      </c>
      <c r="E274">
        <v>-77.096472000000006</v>
      </c>
      <c r="F274">
        <v>220</v>
      </c>
      <c r="G274">
        <v>5.0552999999999999</v>
      </c>
      <c r="I274" t="s">
        <v>137</v>
      </c>
      <c r="J274">
        <v>103876</v>
      </c>
      <c r="K274">
        <v>756752</v>
      </c>
      <c r="L274" s="3">
        <v>-1</v>
      </c>
      <c r="M274" s="3">
        <v>103</v>
      </c>
    </row>
    <row r="275" spans="3:13" x14ac:dyDescent="0.2">
      <c r="C275">
        <v>1128</v>
      </c>
      <c r="D275">
        <v>38.996209</v>
      </c>
      <c r="E275">
        <v>-77.096570999999997</v>
      </c>
      <c r="F275">
        <v>221</v>
      </c>
      <c r="G275">
        <v>5.1142000000000003</v>
      </c>
      <c r="I275" t="s">
        <v>137</v>
      </c>
      <c r="J275">
        <v>106301</v>
      </c>
      <c r="K275">
        <v>106302</v>
      </c>
      <c r="L275" s="3">
        <v>-1</v>
      </c>
      <c r="M275" s="3">
        <v>103</v>
      </c>
    </row>
    <row r="276" spans="3:13" x14ac:dyDescent="0.2">
      <c r="C276">
        <v>1128</v>
      </c>
      <c r="D276">
        <v>38.996870000000001</v>
      </c>
      <c r="E276">
        <v>-77.096632999999997</v>
      </c>
      <c r="F276">
        <v>222</v>
      </c>
      <c r="G276">
        <v>5.1597999999999997</v>
      </c>
      <c r="I276" t="s">
        <v>137</v>
      </c>
      <c r="J276">
        <v>106302</v>
      </c>
      <c r="K276">
        <v>106301</v>
      </c>
      <c r="L276" s="3">
        <v>-1</v>
      </c>
      <c r="M276" s="3">
        <v>103</v>
      </c>
    </row>
    <row r="277" spans="3:13" x14ac:dyDescent="0.2">
      <c r="C277">
        <v>1128</v>
      </c>
      <c r="D277">
        <v>38.996882999999997</v>
      </c>
      <c r="E277">
        <v>-77.096632</v>
      </c>
      <c r="F277">
        <v>223</v>
      </c>
      <c r="G277">
        <v>5.1608000000000001</v>
      </c>
      <c r="I277" t="s">
        <v>137</v>
      </c>
      <c r="J277">
        <v>106302</v>
      </c>
      <c r="K277">
        <v>107136</v>
      </c>
      <c r="L277" s="3">
        <v>-1</v>
      </c>
      <c r="M277" s="3">
        <v>103</v>
      </c>
    </row>
    <row r="278" spans="3:13" x14ac:dyDescent="0.2">
      <c r="C278">
        <v>1128</v>
      </c>
      <c r="D278">
        <v>38.997329999999998</v>
      </c>
      <c r="E278">
        <v>-77.096661999999995</v>
      </c>
      <c r="F278">
        <v>224</v>
      </c>
      <c r="G278">
        <v>5.1917</v>
      </c>
      <c r="I278" t="s">
        <v>137</v>
      </c>
      <c r="J278">
        <v>106302</v>
      </c>
      <c r="K278">
        <v>754850</v>
      </c>
      <c r="L278" s="3">
        <v>-1</v>
      </c>
      <c r="M278" s="3">
        <v>103</v>
      </c>
    </row>
    <row r="279" spans="3:13" x14ac:dyDescent="0.2">
      <c r="C279">
        <v>1128</v>
      </c>
      <c r="D279">
        <v>38.999488999999997</v>
      </c>
      <c r="E279">
        <v>-77.096891999999997</v>
      </c>
      <c r="F279">
        <v>225</v>
      </c>
      <c r="G279">
        <v>5.3414999999999999</v>
      </c>
      <c r="I279" t="s">
        <v>137</v>
      </c>
      <c r="J279">
        <v>106307</v>
      </c>
      <c r="K279">
        <v>106308</v>
      </c>
      <c r="L279" s="3">
        <v>-1</v>
      </c>
      <c r="M279" s="3">
        <v>103</v>
      </c>
    </row>
    <row r="280" spans="3:13" x14ac:dyDescent="0.2">
      <c r="C280">
        <v>1128</v>
      </c>
      <c r="D280">
        <v>38.999485999999997</v>
      </c>
      <c r="E280">
        <v>-77.096895000000004</v>
      </c>
      <c r="F280">
        <v>226</v>
      </c>
      <c r="G280">
        <v>5.3417000000000003</v>
      </c>
      <c r="I280" t="s">
        <v>137</v>
      </c>
      <c r="J280">
        <v>106307</v>
      </c>
      <c r="K280">
        <v>754849</v>
      </c>
      <c r="L280" s="3">
        <v>-1</v>
      </c>
      <c r="M280" s="3">
        <v>103</v>
      </c>
    </row>
    <row r="281" spans="3:13" x14ac:dyDescent="0.2">
      <c r="C281">
        <v>1128</v>
      </c>
      <c r="D281">
        <v>38.999488999999997</v>
      </c>
      <c r="E281">
        <v>-77.096891999999997</v>
      </c>
      <c r="F281">
        <v>227</v>
      </c>
      <c r="G281">
        <v>5.3418999999999999</v>
      </c>
      <c r="I281" t="s">
        <v>137</v>
      </c>
      <c r="J281">
        <v>106308</v>
      </c>
      <c r="K281">
        <v>106307</v>
      </c>
      <c r="L281" s="3">
        <v>-1</v>
      </c>
      <c r="M281" s="3">
        <v>103</v>
      </c>
    </row>
    <row r="282" spans="3:13" x14ac:dyDescent="0.2">
      <c r="C282">
        <v>1128</v>
      </c>
      <c r="D282">
        <v>38.999727999999998</v>
      </c>
      <c r="E282">
        <v>-77.096991000000003</v>
      </c>
      <c r="F282">
        <v>228</v>
      </c>
      <c r="G282">
        <v>5.3590999999999998</v>
      </c>
      <c r="I282" t="s">
        <v>137</v>
      </c>
      <c r="J282">
        <v>106308</v>
      </c>
      <c r="K282">
        <v>106309</v>
      </c>
      <c r="L282" s="3">
        <v>-1</v>
      </c>
      <c r="M282" s="3">
        <v>103</v>
      </c>
    </row>
    <row r="283" spans="3:13" x14ac:dyDescent="0.2">
      <c r="C283">
        <v>1128</v>
      </c>
      <c r="D283">
        <v>39.000067000000001</v>
      </c>
      <c r="E283">
        <v>-77.097042999999999</v>
      </c>
      <c r="F283">
        <v>229</v>
      </c>
      <c r="G283">
        <v>5.3827999999999996</v>
      </c>
      <c r="I283" t="s">
        <v>137</v>
      </c>
      <c r="J283">
        <v>106308</v>
      </c>
      <c r="K283">
        <v>107074</v>
      </c>
      <c r="L283" s="3">
        <v>-1</v>
      </c>
      <c r="M283" s="3">
        <v>103</v>
      </c>
    </row>
    <row r="284" spans="3:13" x14ac:dyDescent="0.2">
      <c r="C284">
        <v>1128</v>
      </c>
      <c r="D284">
        <v>39.000410000000002</v>
      </c>
      <c r="E284">
        <v>-77.097070000000002</v>
      </c>
      <c r="F284">
        <v>230</v>
      </c>
      <c r="G284">
        <v>5.4063999999999997</v>
      </c>
      <c r="I284" t="s">
        <v>137</v>
      </c>
      <c r="J284">
        <v>106309</v>
      </c>
      <c r="K284">
        <v>106308</v>
      </c>
      <c r="L284" s="3">
        <v>-1</v>
      </c>
      <c r="M284" s="3">
        <v>103</v>
      </c>
    </row>
    <row r="285" spans="3:13" x14ac:dyDescent="0.2">
      <c r="C285">
        <v>1128</v>
      </c>
      <c r="D285">
        <v>39.000847999999998</v>
      </c>
      <c r="E285">
        <v>-77.097121000000001</v>
      </c>
      <c r="F285">
        <v>231</v>
      </c>
      <c r="G285">
        <v>5.4367000000000001</v>
      </c>
      <c r="I285" t="s">
        <v>137</v>
      </c>
      <c r="J285">
        <v>106309</v>
      </c>
      <c r="K285">
        <v>106312</v>
      </c>
      <c r="L285" s="3">
        <v>-1</v>
      </c>
      <c r="M285" s="3">
        <v>103</v>
      </c>
    </row>
    <row r="286" spans="3:13" x14ac:dyDescent="0.2">
      <c r="C286">
        <v>1128</v>
      </c>
      <c r="D286">
        <v>39.002498000000003</v>
      </c>
      <c r="E286">
        <v>-77.097301000000002</v>
      </c>
      <c r="F286">
        <v>232</v>
      </c>
      <c r="G286">
        <v>5.5510999999999999</v>
      </c>
      <c r="I286" t="s">
        <v>137</v>
      </c>
      <c r="J286">
        <v>106309</v>
      </c>
      <c r="K286">
        <v>107067</v>
      </c>
      <c r="L286" s="3">
        <v>-1</v>
      </c>
      <c r="M286" s="3">
        <v>103</v>
      </c>
    </row>
    <row r="287" spans="3:13" x14ac:dyDescent="0.2">
      <c r="C287">
        <v>1128</v>
      </c>
      <c r="D287">
        <v>39.004348</v>
      </c>
      <c r="E287">
        <v>-77.097481999999999</v>
      </c>
      <c r="F287">
        <v>233</v>
      </c>
      <c r="G287">
        <v>5.6794000000000002</v>
      </c>
      <c r="I287" t="s">
        <v>137</v>
      </c>
      <c r="J287">
        <v>106312</v>
      </c>
      <c r="K287">
        <v>106309</v>
      </c>
      <c r="L287" s="3">
        <v>-1</v>
      </c>
      <c r="M287" s="3">
        <v>103</v>
      </c>
    </row>
    <row r="288" spans="3:13" x14ac:dyDescent="0.2">
      <c r="C288">
        <v>1128</v>
      </c>
      <c r="D288">
        <v>39.004759</v>
      </c>
      <c r="E288">
        <v>-77.097532999999999</v>
      </c>
      <c r="F288">
        <v>234</v>
      </c>
      <c r="G288">
        <v>5.7077999999999998</v>
      </c>
      <c r="I288" t="s">
        <v>137</v>
      </c>
      <c r="J288">
        <v>106312</v>
      </c>
      <c r="K288">
        <v>106314</v>
      </c>
      <c r="L288" s="3">
        <v>-1</v>
      </c>
      <c r="M288" s="3">
        <v>103</v>
      </c>
    </row>
    <row r="289" spans="3:13" x14ac:dyDescent="0.2">
      <c r="C289">
        <v>1128</v>
      </c>
      <c r="D289">
        <v>39.004928999999997</v>
      </c>
      <c r="E289">
        <v>-77.097551999999993</v>
      </c>
      <c r="F289">
        <v>235</v>
      </c>
      <c r="G289">
        <v>5.7195</v>
      </c>
      <c r="I289" t="s">
        <v>137</v>
      </c>
      <c r="J289">
        <v>106312</v>
      </c>
      <c r="K289">
        <v>107137</v>
      </c>
      <c r="L289" s="3">
        <v>-1</v>
      </c>
      <c r="M289" s="3">
        <v>103</v>
      </c>
    </row>
    <row r="290" spans="3:13" x14ac:dyDescent="0.2">
      <c r="C290">
        <v>1128</v>
      </c>
      <c r="D290">
        <v>39.004908999999998</v>
      </c>
      <c r="E290">
        <v>-77.098533000000003</v>
      </c>
      <c r="F290">
        <v>236</v>
      </c>
      <c r="G290">
        <v>5.7721999999999998</v>
      </c>
      <c r="I290" t="s">
        <v>137</v>
      </c>
      <c r="J290">
        <v>106314</v>
      </c>
      <c r="K290">
        <v>106312</v>
      </c>
      <c r="L290" s="3">
        <v>-1</v>
      </c>
      <c r="M290" s="3">
        <v>103</v>
      </c>
    </row>
    <row r="291" spans="3:13" x14ac:dyDescent="0.2">
      <c r="C291">
        <v>1128</v>
      </c>
      <c r="D291">
        <v>39.005178000000001</v>
      </c>
      <c r="E291">
        <v>-77.098533000000003</v>
      </c>
      <c r="F291">
        <v>237</v>
      </c>
      <c r="G291">
        <v>5.7907000000000002</v>
      </c>
      <c r="I291" t="s">
        <v>137</v>
      </c>
      <c r="J291">
        <v>106314</v>
      </c>
      <c r="K291">
        <v>106316</v>
      </c>
      <c r="L291" s="3">
        <v>-1</v>
      </c>
      <c r="M291" s="3">
        <v>103</v>
      </c>
    </row>
    <row r="292" spans="3:13" x14ac:dyDescent="0.2">
      <c r="C292">
        <v>1128</v>
      </c>
      <c r="D292">
        <v>39.005437999999998</v>
      </c>
      <c r="E292">
        <v>-77.098572000000004</v>
      </c>
      <c r="F292">
        <v>238</v>
      </c>
      <c r="G292">
        <v>5.8087</v>
      </c>
      <c r="I292" t="s">
        <v>137</v>
      </c>
      <c r="J292">
        <v>106314</v>
      </c>
      <c r="K292">
        <v>107137</v>
      </c>
      <c r="L292" s="3">
        <v>-1</v>
      </c>
      <c r="M292" s="3">
        <v>103</v>
      </c>
    </row>
    <row r="293" spans="3:13" x14ac:dyDescent="0.2">
      <c r="C293">
        <v>1128</v>
      </c>
      <c r="D293">
        <v>39.006098999999999</v>
      </c>
      <c r="E293">
        <v>-77.09881</v>
      </c>
      <c r="F293">
        <v>239</v>
      </c>
      <c r="G293">
        <v>5.8560999999999996</v>
      </c>
      <c r="I293" t="s">
        <v>137</v>
      </c>
      <c r="J293">
        <v>106316</v>
      </c>
      <c r="K293">
        <v>106314</v>
      </c>
      <c r="L293" s="3">
        <v>-1</v>
      </c>
      <c r="M293" s="3">
        <v>103</v>
      </c>
    </row>
    <row r="294" spans="3:13" x14ac:dyDescent="0.2">
      <c r="C294">
        <v>1128</v>
      </c>
      <c r="D294">
        <v>39.006090999999998</v>
      </c>
      <c r="E294">
        <v>-77.098842000000005</v>
      </c>
      <c r="F294">
        <v>240</v>
      </c>
      <c r="G294">
        <v>5.8578000000000001</v>
      </c>
      <c r="I294" t="s">
        <v>137</v>
      </c>
      <c r="J294">
        <v>106316</v>
      </c>
      <c r="K294">
        <v>106322</v>
      </c>
      <c r="L294" s="3">
        <v>-1</v>
      </c>
      <c r="M294" s="3">
        <v>103</v>
      </c>
    </row>
    <row r="295" spans="3:13" x14ac:dyDescent="0.2">
      <c r="C295">
        <v>1128</v>
      </c>
      <c r="D295">
        <v>39.005918000000001</v>
      </c>
      <c r="E295">
        <v>-77.099500000000006</v>
      </c>
      <c r="F295">
        <v>241</v>
      </c>
      <c r="G295">
        <v>5.8948999999999998</v>
      </c>
      <c r="I295" t="s">
        <v>137</v>
      </c>
      <c r="J295">
        <v>106322</v>
      </c>
      <c r="K295">
        <v>106316</v>
      </c>
      <c r="L295" s="3">
        <v>-1</v>
      </c>
      <c r="M295" s="3">
        <v>103</v>
      </c>
    </row>
    <row r="296" spans="3:13" x14ac:dyDescent="0.2">
      <c r="C296">
        <v>1128</v>
      </c>
      <c r="D296">
        <v>39.005797000000001</v>
      </c>
      <c r="E296">
        <v>-77.099970999999996</v>
      </c>
      <c r="F296">
        <v>242</v>
      </c>
      <c r="G296">
        <v>5.9214000000000002</v>
      </c>
      <c r="I296" t="s">
        <v>137</v>
      </c>
      <c r="J296">
        <v>106322</v>
      </c>
      <c r="K296">
        <v>106323</v>
      </c>
      <c r="L296" s="3">
        <v>-1</v>
      </c>
      <c r="M296" s="3">
        <v>103</v>
      </c>
    </row>
    <row r="297" spans="3:13" x14ac:dyDescent="0.2">
      <c r="C297">
        <v>1128</v>
      </c>
      <c r="D297">
        <v>39.005761999999997</v>
      </c>
      <c r="E297">
        <v>-77.100165000000004</v>
      </c>
      <c r="F297">
        <v>243</v>
      </c>
      <c r="G297">
        <v>5.9320000000000004</v>
      </c>
      <c r="I297" t="s">
        <v>137</v>
      </c>
      <c r="J297">
        <v>106322</v>
      </c>
      <c r="K297">
        <v>106342</v>
      </c>
      <c r="L297" s="3">
        <v>-1</v>
      </c>
      <c r="M297" s="3">
        <v>103</v>
      </c>
    </row>
    <row r="298" spans="3:13" x14ac:dyDescent="0.2">
      <c r="C298">
        <v>1128</v>
      </c>
      <c r="D298">
        <v>39.005833000000003</v>
      </c>
      <c r="E298">
        <v>-77.100182000000004</v>
      </c>
      <c r="F298">
        <v>244</v>
      </c>
      <c r="G298">
        <v>5.9368999999999996</v>
      </c>
      <c r="I298" t="s">
        <v>137</v>
      </c>
      <c r="J298">
        <v>106322</v>
      </c>
      <c r="K298">
        <v>106346</v>
      </c>
      <c r="L298" s="3">
        <v>-1</v>
      </c>
      <c r="M298" s="3">
        <v>103</v>
      </c>
    </row>
    <row r="299" spans="3:13" x14ac:dyDescent="0.2">
      <c r="C299">
        <v>1128</v>
      </c>
      <c r="D299">
        <v>39.005729000000002</v>
      </c>
      <c r="E299">
        <v>-77.100363000000002</v>
      </c>
      <c r="F299">
        <v>245</v>
      </c>
      <c r="G299">
        <v>5.9489000000000001</v>
      </c>
      <c r="I299" t="s">
        <v>137</v>
      </c>
      <c r="J299">
        <v>106323</v>
      </c>
      <c r="K299">
        <v>106322</v>
      </c>
      <c r="L299" s="3">
        <v>-1</v>
      </c>
      <c r="M299" s="3">
        <v>103</v>
      </c>
    </row>
    <row r="300" spans="3:13" x14ac:dyDescent="0.2">
      <c r="C300">
        <v>1128</v>
      </c>
      <c r="D300">
        <v>39.005648999999998</v>
      </c>
      <c r="E300">
        <v>-77.100921</v>
      </c>
      <c r="F300">
        <v>246</v>
      </c>
      <c r="G300">
        <v>5.9791999999999996</v>
      </c>
      <c r="I300" t="s">
        <v>137</v>
      </c>
      <c r="J300">
        <v>106323</v>
      </c>
      <c r="K300">
        <v>106324</v>
      </c>
      <c r="L300" s="3">
        <v>-1</v>
      </c>
      <c r="M300" s="3">
        <v>103</v>
      </c>
    </row>
    <row r="301" spans="3:13" x14ac:dyDescent="0.2">
      <c r="C301">
        <v>1128</v>
      </c>
      <c r="D301">
        <v>39.005597000000002</v>
      </c>
      <c r="E301">
        <v>-77.101552999999996</v>
      </c>
      <c r="F301">
        <v>247</v>
      </c>
      <c r="G301">
        <v>6.0133000000000001</v>
      </c>
      <c r="I301" t="s">
        <v>137</v>
      </c>
      <c r="J301">
        <v>106323</v>
      </c>
      <c r="K301">
        <v>327534</v>
      </c>
      <c r="L301" s="3">
        <v>-1</v>
      </c>
      <c r="M301" s="3">
        <v>103</v>
      </c>
    </row>
    <row r="302" spans="3:13" x14ac:dyDescent="0.2">
      <c r="C302">
        <v>1128</v>
      </c>
      <c r="D302">
        <v>39.005558999999998</v>
      </c>
      <c r="E302">
        <v>-77.102051000000003</v>
      </c>
      <c r="F302">
        <v>248</v>
      </c>
      <c r="G302">
        <v>6.04</v>
      </c>
      <c r="I302" t="s">
        <v>137</v>
      </c>
      <c r="J302">
        <v>106324</v>
      </c>
      <c r="K302">
        <v>106330</v>
      </c>
      <c r="L302" s="3">
        <v>-1</v>
      </c>
      <c r="M302" s="3">
        <v>103</v>
      </c>
    </row>
    <row r="303" spans="3:13" x14ac:dyDescent="0.2">
      <c r="C303">
        <v>1128</v>
      </c>
      <c r="D303">
        <v>39.005518000000002</v>
      </c>
      <c r="E303">
        <v>-77.102591000000004</v>
      </c>
      <c r="F303">
        <v>249</v>
      </c>
      <c r="G303">
        <v>6.0689000000000002</v>
      </c>
      <c r="I303" t="s">
        <v>137</v>
      </c>
      <c r="J303">
        <v>106324</v>
      </c>
      <c r="K303">
        <v>327534</v>
      </c>
      <c r="L303" s="3">
        <v>-1</v>
      </c>
      <c r="M303" s="3">
        <v>103</v>
      </c>
    </row>
    <row r="304" spans="3:13" x14ac:dyDescent="0.2">
      <c r="C304">
        <v>1128</v>
      </c>
      <c r="D304">
        <v>39.005518000000002</v>
      </c>
      <c r="E304">
        <v>-77.102637000000001</v>
      </c>
      <c r="F304">
        <v>250</v>
      </c>
      <c r="G304">
        <v>6.0713999999999997</v>
      </c>
      <c r="I304" t="s">
        <v>137</v>
      </c>
      <c r="J304">
        <v>106330</v>
      </c>
      <c r="K304">
        <v>106335</v>
      </c>
      <c r="L304" s="3">
        <v>-1</v>
      </c>
      <c r="M304" s="3">
        <v>103</v>
      </c>
    </row>
    <row r="305" spans="3:13" x14ac:dyDescent="0.2">
      <c r="C305">
        <v>1128</v>
      </c>
      <c r="D305">
        <v>39.005605000000003</v>
      </c>
      <c r="E305">
        <v>-77.102497999999997</v>
      </c>
      <c r="F305">
        <v>251</v>
      </c>
      <c r="G305">
        <v>6.0808999999999997</v>
      </c>
      <c r="I305" t="s">
        <v>137</v>
      </c>
      <c r="J305">
        <v>106330</v>
      </c>
      <c r="K305">
        <v>327533</v>
      </c>
      <c r="L305" s="3">
        <v>-1</v>
      </c>
      <c r="M305" s="3">
        <v>103</v>
      </c>
    </row>
    <row r="306" spans="3:13" x14ac:dyDescent="0.2">
      <c r="C306">
        <v>1128</v>
      </c>
      <c r="D306">
        <v>39.005518000000002</v>
      </c>
      <c r="E306">
        <v>-77.102591000000004</v>
      </c>
      <c r="F306">
        <v>252</v>
      </c>
      <c r="G306">
        <v>6.0885999999999996</v>
      </c>
      <c r="I306" t="s">
        <v>137</v>
      </c>
      <c r="J306">
        <v>106335</v>
      </c>
      <c r="K306">
        <v>106330</v>
      </c>
      <c r="L306" s="3">
        <v>-1</v>
      </c>
      <c r="M306" s="3">
        <v>103</v>
      </c>
    </row>
    <row r="307" spans="3:13" x14ac:dyDescent="0.2">
      <c r="C307">
        <v>1128</v>
      </c>
      <c r="D307">
        <v>39.005394000000003</v>
      </c>
      <c r="E307">
        <v>-77.104437000000004</v>
      </c>
      <c r="F307">
        <v>253</v>
      </c>
      <c r="G307">
        <v>6.1879</v>
      </c>
      <c r="I307" t="s">
        <v>137</v>
      </c>
      <c r="J307">
        <v>106335</v>
      </c>
      <c r="K307">
        <v>106342</v>
      </c>
      <c r="L307" s="3">
        <v>-1</v>
      </c>
      <c r="M307" s="3">
        <v>103</v>
      </c>
    </row>
    <row r="308" spans="3:13" x14ac:dyDescent="0.2">
      <c r="C308">
        <v>1128</v>
      </c>
      <c r="D308">
        <v>39.005468</v>
      </c>
      <c r="E308">
        <v>-77.104443000000003</v>
      </c>
      <c r="F308">
        <v>254</v>
      </c>
      <c r="G308">
        <v>6.1929999999999996</v>
      </c>
      <c r="I308" t="s">
        <v>137</v>
      </c>
      <c r="J308">
        <v>106342</v>
      </c>
      <c r="K308">
        <v>106322</v>
      </c>
      <c r="L308" s="3">
        <v>-1</v>
      </c>
      <c r="M308" s="3">
        <v>103</v>
      </c>
    </row>
    <row r="309" spans="3:13" x14ac:dyDescent="0.2">
      <c r="C309">
        <v>1128</v>
      </c>
      <c r="D309">
        <v>39.005386000000001</v>
      </c>
      <c r="E309">
        <v>-77.104609999999994</v>
      </c>
      <c r="F309">
        <v>255</v>
      </c>
      <c r="G309">
        <v>6.2034000000000002</v>
      </c>
      <c r="I309" t="s">
        <v>137</v>
      </c>
      <c r="J309">
        <v>106342</v>
      </c>
      <c r="K309">
        <v>107190</v>
      </c>
      <c r="L309" s="3">
        <v>-1</v>
      </c>
      <c r="M309" s="3">
        <v>103</v>
      </c>
    </row>
    <row r="310" spans="3:13" x14ac:dyDescent="0.2">
      <c r="C310">
        <v>1128</v>
      </c>
      <c r="D310">
        <v>39.005299000000001</v>
      </c>
      <c r="E310">
        <v>-77.105873000000003</v>
      </c>
      <c r="F310">
        <v>256</v>
      </c>
      <c r="G310">
        <v>6.2713999999999999</v>
      </c>
      <c r="I310" t="s">
        <v>137</v>
      </c>
      <c r="J310">
        <v>106346</v>
      </c>
      <c r="K310">
        <v>106322</v>
      </c>
      <c r="L310" s="3">
        <v>-1</v>
      </c>
      <c r="M310" s="3">
        <v>103</v>
      </c>
    </row>
    <row r="311" spans="3:13" x14ac:dyDescent="0.2">
      <c r="C311">
        <v>1128</v>
      </c>
      <c r="D311">
        <v>39.005268000000001</v>
      </c>
      <c r="E311">
        <v>-77.106272000000004</v>
      </c>
      <c r="F311">
        <v>257</v>
      </c>
      <c r="G311">
        <v>6.2927999999999997</v>
      </c>
      <c r="I311" t="s">
        <v>137</v>
      </c>
      <c r="J311">
        <v>106346</v>
      </c>
      <c r="K311">
        <v>106347</v>
      </c>
      <c r="L311" s="3">
        <v>-1</v>
      </c>
      <c r="M311" s="3">
        <v>103</v>
      </c>
    </row>
    <row r="312" spans="3:13" x14ac:dyDescent="0.2">
      <c r="C312">
        <v>1128</v>
      </c>
      <c r="D312">
        <v>39.005226999999998</v>
      </c>
      <c r="E312">
        <v>-77.106550999999996</v>
      </c>
      <c r="F312">
        <v>258</v>
      </c>
      <c r="G312">
        <v>6.3079999999999998</v>
      </c>
      <c r="I312" t="s">
        <v>137</v>
      </c>
      <c r="J312">
        <v>106346</v>
      </c>
      <c r="K312">
        <v>107196</v>
      </c>
      <c r="L312" s="3">
        <v>-1</v>
      </c>
      <c r="M312" s="3">
        <v>103</v>
      </c>
    </row>
    <row r="313" spans="3:13" x14ac:dyDescent="0.2">
      <c r="C313">
        <v>1128</v>
      </c>
      <c r="D313">
        <v>39.005147999999998</v>
      </c>
      <c r="E313">
        <v>-77.106831</v>
      </c>
      <c r="F313">
        <v>259</v>
      </c>
      <c r="G313">
        <v>6.3239000000000001</v>
      </c>
      <c r="I313" t="s">
        <v>137</v>
      </c>
      <c r="J313">
        <v>106347</v>
      </c>
      <c r="K313">
        <v>106346</v>
      </c>
      <c r="L313" s="3">
        <v>-1</v>
      </c>
      <c r="M313" s="3">
        <v>103</v>
      </c>
    </row>
    <row r="314" spans="3:13" x14ac:dyDescent="0.2">
      <c r="C314">
        <v>1128</v>
      </c>
      <c r="D314">
        <v>39.005037999999999</v>
      </c>
      <c r="E314">
        <v>-77.107132000000007</v>
      </c>
      <c r="F314">
        <v>260</v>
      </c>
      <c r="G314">
        <v>6.3414999999999999</v>
      </c>
      <c r="I314" t="s">
        <v>137</v>
      </c>
      <c r="J314">
        <v>106347</v>
      </c>
      <c r="K314">
        <v>106348</v>
      </c>
      <c r="L314" s="3">
        <v>-1</v>
      </c>
      <c r="M314" s="3">
        <v>103</v>
      </c>
    </row>
    <row r="315" spans="3:13" x14ac:dyDescent="0.2">
      <c r="C315">
        <v>1128</v>
      </c>
      <c r="D315">
        <v>39.004800000000003</v>
      </c>
      <c r="E315">
        <v>-77.107681999999997</v>
      </c>
      <c r="F315">
        <v>261</v>
      </c>
      <c r="G315">
        <v>6.375</v>
      </c>
      <c r="I315" t="s">
        <v>137</v>
      </c>
      <c r="J315">
        <v>106348</v>
      </c>
      <c r="K315">
        <v>106347</v>
      </c>
      <c r="L315" s="3">
        <v>-1</v>
      </c>
      <c r="M315" s="3">
        <v>103</v>
      </c>
    </row>
    <row r="316" spans="3:13" x14ac:dyDescent="0.2">
      <c r="C316">
        <v>1128</v>
      </c>
      <c r="D316">
        <v>39.004668000000002</v>
      </c>
      <c r="E316">
        <v>-77.108031999999994</v>
      </c>
      <c r="F316">
        <v>262</v>
      </c>
      <c r="G316">
        <v>6.3958000000000004</v>
      </c>
      <c r="I316" t="s">
        <v>137</v>
      </c>
      <c r="J316">
        <v>106348</v>
      </c>
      <c r="K316">
        <v>107054</v>
      </c>
      <c r="L316" s="3">
        <v>-1</v>
      </c>
      <c r="M316" s="3">
        <v>103</v>
      </c>
    </row>
    <row r="317" spans="3:13" x14ac:dyDescent="0.2">
      <c r="C317">
        <v>1128</v>
      </c>
      <c r="D317">
        <v>39.004589000000003</v>
      </c>
      <c r="E317">
        <v>-77.108452999999997</v>
      </c>
      <c r="F317">
        <v>263</v>
      </c>
      <c r="G317">
        <v>6.4188999999999998</v>
      </c>
      <c r="I317" t="s">
        <v>137</v>
      </c>
      <c r="J317">
        <v>107054</v>
      </c>
      <c r="K317">
        <v>107055</v>
      </c>
      <c r="L317" s="3">
        <v>-1</v>
      </c>
      <c r="M317" s="3">
        <v>103</v>
      </c>
    </row>
    <row r="318" spans="3:13" x14ac:dyDescent="0.2">
      <c r="C318">
        <v>1128</v>
      </c>
      <c r="D318">
        <v>39.004548</v>
      </c>
      <c r="E318">
        <v>-77.109261000000004</v>
      </c>
      <c r="F318">
        <v>264</v>
      </c>
      <c r="G318">
        <v>6.4622999999999999</v>
      </c>
      <c r="I318" t="s">
        <v>137</v>
      </c>
      <c r="J318">
        <v>107055</v>
      </c>
      <c r="K318">
        <v>107067</v>
      </c>
      <c r="L318" s="3">
        <v>-1</v>
      </c>
      <c r="M318" s="3">
        <v>103</v>
      </c>
    </row>
    <row r="319" spans="3:13" x14ac:dyDescent="0.2">
      <c r="C319">
        <v>1128</v>
      </c>
      <c r="D319">
        <v>39.004517999999997</v>
      </c>
      <c r="E319">
        <v>-77.110579999999999</v>
      </c>
      <c r="F319">
        <v>265</v>
      </c>
      <c r="G319">
        <v>6.5331000000000001</v>
      </c>
      <c r="I319" t="s">
        <v>137</v>
      </c>
      <c r="J319">
        <v>107055</v>
      </c>
      <c r="K319">
        <v>107196</v>
      </c>
      <c r="L319" s="3">
        <v>-1</v>
      </c>
      <c r="M319" s="3">
        <v>103</v>
      </c>
    </row>
    <row r="320" spans="3:13" x14ac:dyDescent="0.2">
      <c r="C320">
        <v>1128</v>
      </c>
      <c r="D320">
        <v>39.004128000000001</v>
      </c>
      <c r="E320">
        <v>-77.110401999999993</v>
      </c>
      <c r="F320">
        <v>266</v>
      </c>
      <c r="G320">
        <v>6.5617000000000001</v>
      </c>
      <c r="I320" t="s">
        <v>137</v>
      </c>
      <c r="J320">
        <v>107067</v>
      </c>
      <c r="K320">
        <v>106312</v>
      </c>
      <c r="L320" s="3">
        <v>-1</v>
      </c>
      <c r="M320" s="3">
        <v>103</v>
      </c>
    </row>
    <row r="321" spans="3:13" x14ac:dyDescent="0.2">
      <c r="C321">
        <v>1128</v>
      </c>
      <c r="D321">
        <v>39.003619</v>
      </c>
      <c r="E321">
        <v>-77.110181999999995</v>
      </c>
      <c r="F321">
        <v>267</v>
      </c>
      <c r="G321">
        <v>6.5989000000000004</v>
      </c>
      <c r="I321" t="s">
        <v>137</v>
      </c>
      <c r="J321">
        <v>107067</v>
      </c>
      <c r="K321">
        <v>107055</v>
      </c>
      <c r="L321" s="3">
        <v>-1</v>
      </c>
      <c r="M321" s="3">
        <v>103</v>
      </c>
    </row>
    <row r="322" spans="3:13" x14ac:dyDescent="0.2">
      <c r="C322">
        <v>1128</v>
      </c>
      <c r="D322">
        <v>39.002830000000003</v>
      </c>
      <c r="E322">
        <v>-77.109909999999999</v>
      </c>
      <c r="F322">
        <v>268</v>
      </c>
      <c r="G322">
        <v>6.6553000000000004</v>
      </c>
      <c r="I322" t="s">
        <v>137</v>
      </c>
      <c r="J322">
        <v>107074</v>
      </c>
      <c r="K322">
        <v>107085</v>
      </c>
      <c r="L322" s="3">
        <v>-1</v>
      </c>
      <c r="M322" s="3">
        <v>103</v>
      </c>
    </row>
    <row r="323" spans="3:13" x14ac:dyDescent="0.2">
      <c r="C323">
        <v>1128</v>
      </c>
      <c r="D323">
        <v>39.002799000000003</v>
      </c>
      <c r="E323">
        <v>-77.110073</v>
      </c>
      <c r="F323">
        <v>269</v>
      </c>
      <c r="G323">
        <v>6.6642000000000001</v>
      </c>
      <c r="I323" t="s">
        <v>137</v>
      </c>
      <c r="J323">
        <v>107085</v>
      </c>
      <c r="K323">
        <v>756442</v>
      </c>
      <c r="L323" s="3">
        <v>-1</v>
      </c>
      <c r="M323" s="3">
        <v>103</v>
      </c>
    </row>
    <row r="324" spans="3:13" x14ac:dyDescent="0.2">
      <c r="C324">
        <v>1128</v>
      </c>
      <c r="D324">
        <v>39.003098000000001</v>
      </c>
      <c r="E324">
        <v>-77.110161000000005</v>
      </c>
      <c r="F324">
        <v>270</v>
      </c>
      <c r="G324">
        <v>6.6853999999999996</v>
      </c>
      <c r="I324" t="s">
        <v>137</v>
      </c>
      <c r="J324">
        <v>107108</v>
      </c>
      <c r="K324">
        <v>107118</v>
      </c>
      <c r="L324" s="3">
        <v>-1</v>
      </c>
      <c r="M324" s="3">
        <v>103</v>
      </c>
    </row>
    <row r="325" spans="3:13" x14ac:dyDescent="0.2">
      <c r="C325">
        <v>1128</v>
      </c>
      <c r="D325">
        <v>39.003357999999999</v>
      </c>
      <c r="E325">
        <v>-77.110242</v>
      </c>
      <c r="F325">
        <v>271</v>
      </c>
      <c r="G325">
        <v>6.7038000000000002</v>
      </c>
      <c r="I325" t="s">
        <v>137</v>
      </c>
      <c r="J325">
        <v>107118</v>
      </c>
      <c r="K325">
        <v>107131</v>
      </c>
      <c r="L325" s="3">
        <v>-1</v>
      </c>
      <c r="M325" s="3">
        <v>103</v>
      </c>
    </row>
    <row r="326" spans="3:13" x14ac:dyDescent="0.2">
      <c r="C326">
        <v>1128</v>
      </c>
      <c r="D326">
        <v>39.003599999999999</v>
      </c>
      <c r="E326">
        <v>-77.110341000000005</v>
      </c>
      <c r="F326">
        <v>272</v>
      </c>
      <c r="G326">
        <v>6.7211999999999996</v>
      </c>
      <c r="I326" t="s">
        <v>137</v>
      </c>
      <c r="J326">
        <v>107131</v>
      </c>
      <c r="K326">
        <v>107136</v>
      </c>
      <c r="L326" s="3">
        <v>-1</v>
      </c>
      <c r="M326" s="3">
        <v>103</v>
      </c>
    </row>
    <row r="327" spans="3:13" x14ac:dyDescent="0.2">
      <c r="C327">
        <v>1128</v>
      </c>
      <c r="D327">
        <v>39.004049000000002</v>
      </c>
      <c r="E327">
        <v>-77.110523000000001</v>
      </c>
      <c r="F327">
        <v>273</v>
      </c>
      <c r="G327">
        <v>6.7538</v>
      </c>
      <c r="I327" t="s">
        <v>137</v>
      </c>
      <c r="J327">
        <v>107136</v>
      </c>
      <c r="K327">
        <v>106302</v>
      </c>
      <c r="L327" s="3">
        <v>-1</v>
      </c>
      <c r="M327" s="3">
        <v>103</v>
      </c>
    </row>
    <row r="328" spans="3:13" x14ac:dyDescent="0.2">
      <c r="C328">
        <v>1128</v>
      </c>
      <c r="D328">
        <v>39.004517999999997</v>
      </c>
      <c r="E328">
        <v>-77.110731999999999</v>
      </c>
      <c r="F328">
        <v>274</v>
      </c>
      <c r="G328">
        <v>6.7881</v>
      </c>
      <c r="I328" t="s">
        <v>137</v>
      </c>
      <c r="J328">
        <v>107137</v>
      </c>
      <c r="K328">
        <v>106314</v>
      </c>
      <c r="L328" s="3">
        <v>-1</v>
      </c>
      <c r="M328" s="3">
        <v>103</v>
      </c>
    </row>
    <row r="329" spans="3:13" x14ac:dyDescent="0.2">
      <c r="C329">
        <v>1128</v>
      </c>
      <c r="D329">
        <v>39.004550000000002</v>
      </c>
      <c r="E329">
        <v>-77.110753000000003</v>
      </c>
      <c r="F329">
        <v>275</v>
      </c>
      <c r="G329">
        <v>6.7904999999999998</v>
      </c>
      <c r="I329" t="s">
        <v>137</v>
      </c>
      <c r="J329">
        <v>107137</v>
      </c>
      <c r="K329">
        <v>106316</v>
      </c>
      <c r="L329" s="3">
        <v>-1</v>
      </c>
      <c r="M329" s="3">
        <v>103</v>
      </c>
    </row>
    <row r="330" spans="3:13" x14ac:dyDescent="0.2">
      <c r="C330">
        <v>1128</v>
      </c>
      <c r="D330">
        <v>39.004561000000002</v>
      </c>
      <c r="E330">
        <v>-77.110724000000005</v>
      </c>
      <c r="F330">
        <v>276</v>
      </c>
      <c r="G330">
        <v>6.7919999999999998</v>
      </c>
      <c r="I330" t="s">
        <v>137</v>
      </c>
      <c r="J330">
        <v>107137</v>
      </c>
      <c r="K330">
        <v>107146</v>
      </c>
      <c r="L330" s="3">
        <v>-1</v>
      </c>
      <c r="M330" s="3">
        <v>103</v>
      </c>
    </row>
    <row r="331" spans="3:13" x14ac:dyDescent="0.2">
      <c r="C331">
        <v>1128</v>
      </c>
      <c r="D331">
        <v>38.992939999999997</v>
      </c>
      <c r="E331">
        <v>-77.097226000000006</v>
      </c>
      <c r="F331">
        <v>277</v>
      </c>
      <c r="G331">
        <v>7.8794000000000004</v>
      </c>
      <c r="I331" t="s">
        <v>137</v>
      </c>
      <c r="J331">
        <v>107146</v>
      </c>
      <c r="K331">
        <v>107190</v>
      </c>
      <c r="L331" s="3">
        <v>-1</v>
      </c>
      <c r="M331" s="3">
        <v>103</v>
      </c>
    </row>
    <row r="332" spans="3:13" x14ac:dyDescent="0.2">
      <c r="C332">
        <v>1128</v>
      </c>
      <c r="D332">
        <v>38.992707000000003</v>
      </c>
      <c r="E332">
        <v>-77.097031000000001</v>
      </c>
      <c r="F332">
        <v>278</v>
      </c>
      <c r="G332">
        <v>7.8985000000000003</v>
      </c>
      <c r="I332" t="s">
        <v>137</v>
      </c>
      <c r="J332">
        <v>107190</v>
      </c>
      <c r="K332">
        <v>106335</v>
      </c>
      <c r="L332" s="3">
        <v>-1</v>
      </c>
      <c r="M332" s="3">
        <v>103</v>
      </c>
    </row>
    <row r="333" spans="3:13" x14ac:dyDescent="0.2">
      <c r="C333">
        <v>1128</v>
      </c>
      <c r="D333">
        <v>38.992699000000002</v>
      </c>
      <c r="E333">
        <v>-77.097031000000001</v>
      </c>
      <c r="F333">
        <v>279</v>
      </c>
      <c r="G333">
        <v>7.8990999999999998</v>
      </c>
      <c r="I333" t="s">
        <v>137</v>
      </c>
      <c r="J333">
        <v>107190</v>
      </c>
      <c r="K333">
        <v>106342</v>
      </c>
      <c r="L333" s="3">
        <v>-1</v>
      </c>
      <c r="M333" s="3">
        <v>103</v>
      </c>
    </row>
    <row r="334" spans="3:13" x14ac:dyDescent="0.2">
      <c r="C334">
        <v>1128</v>
      </c>
      <c r="D334">
        <v>38.992556</v>
      </c>
      <c r="E334">
        <v>-77.098510000000005</v>
      </c>
      <c r="F334">
        <v>280</v>
      </c>
      <c r="G334">
        <v>7.9790000000000001</v>
      </c>
      <c r="I334" t="s">
        <v>137</v>
      </c>
      <c r="J334">
        <v>107190</v>
      </c>
      <c r="K334">
        <v>107146</v>
      </c>
      <c r="L334" s="3">
        <v>-1</v>
      </c>
      <c r="M334" s="3">
        <v>103</v>
      </c>
    </row>
    <row r="335" spans="3:13" x14ac:dyDescent="0.2">
      <c r="C335">
        <v>1128</v>
      </c>
      <c r="D335">
        <v>38.992595000000001</v>
      </c>
      <c r="E335">
        <v>-77.098513999999994</v>
      </c>
      <c r="F335">
        <v>281</v>
      </c>
      <c r="G335">
        <v>7.9816000000000003</v>
      </c>
      <c r="I335" t="s">
        <v>137</v>
      </c>
      <c r="J335">
        <v>107196</v>
      </c>
      <c r="K335">
        <v>106346</v>
      </c>
      <c r="L335" s="3">
        <v>-1</v>
      </c>
      <c r="M335" s="3">
        <v>103</v>
      </c>
    </row>
    <row r="336" spans="3:13" x14ac:dyDescent="0.2">
      <c r="C336">
        <v>1128</v>
      </c>
      <c r="D336">
        <v>38.992362</v>
      </c>
      <c r="E336">
        <v>-77.101104000000007</v>
      </c>
      <c r="F336">
        <v>282</v>
      </c>
      <c r="G336">
        <v>8.1213999999999995</v>
      </c>
      <c r="I336" t="s">
        <v>137</v>
      </c>
      <c r="J336">
        <v>107196</v>
      </c>
      <c r="K336">
        <v>107054</v>
      </c>
      <c r="L336" s="3">
        <v>-1</v>
      </c>
      <c r="M336" s="3">
        <v>103</v>
      </c>
    </row>
    <row r="337" spans="3:13" x14ac:dyDescent="0.2">
      <c r="C337">
        <v>1128</v>
      </c>
      <c r="D337">
        <v>38.992227</v>
      </c>
      <c r="E337">
        <v>-77.101930999999993</v>
      </c>
      <c r="F337">
        <v>283</v>
      </c>
      <c r="G337">
        <v>8.1667000000000005</v>
      </c>
      <c r="I337" t="s">
        <v>137</v>
      </c>
      <c r="J337">
        <v>108105</v>
      </c>
      <c r="K337">
        <v>103819</v>
      </c>
      <c r="L337" s="3">
        <v>-1</v>
      </c>
      <c r="M337" s="3">
        <v>103</v>
      </c>
    </row>
    <row r="338" spans="3:13" x14ac:dyDescent="0.2">
      <c r="C338">
        <v>1128</v>
      </c>
      <c r="D338">
        <v>38.992170000000002</v>
      </c>
      <c r="E338">
        <v>-77.102160999999995</v>
      </c>
      <c r="F338">
        <v>284</v>
      </c>
      <c r="G338">
        <v>8.1795000000000009</v>
      </c>
      <c r="I338" t="s">
        <v>137</v>
      </c>
      <c r="J338">
        <v>108105</v>
      </c>
      <c r="K338">
        <v>108108</v>
      </c>
      <c r="L338" s="3">
        <v>-1</v>
      </c>
      <c r="M338" s="3">
        <v>103</v>
      </c>
    </row>
    <row r="339" spans="3:13" x14ac:dyDescent="0.2">
      <c r="C339">
        <v>1128</v>
      </c>
      <c r="D339">
        <v>38.992099000000003</v>
      </c>
      <c r="E339">
        <v>-77.102312999999995</v>
      </c>
      <c r="F339">
        <v>285</v>
      </c>
      <c r="G339">
        <v>8.1890000000000001</v>
      </c>
      <c r="I339" t="s">
        <v>137</v>
      </c>
      <c r="J339">
        <v>108108</v>
      </c>
      <c r="K339">
        <v>108105</v>
      </c>
      <c r="L339" s="3">
        <v>-1</v>
      </c>
      <c r="M339" s="3">
        <v>103</v>
      </c>
    </row>
    <row r="340" spans="3:13" x14ac:dyDescent="0.2">
      <c r="C340">
        <v>1128</v>
      </c>
      <c r="D340">
        <v>38.991996999999998</v>
      </c>
      <c r="E340">
        <v>-77.102452</v>
      </c>
      <c r="F340">
        <v>286</v>
      </c>
      <c r="G340">
        <v>8.1990999999999996</v>
      </c>
      <c r="I340" t="s">
        <v>137</v>
      </c>
      <c r="J340">
        <v>108108</v>
      </c>
      <c r="K340">
        <v>108109</v>
      </c>
      <c r="L340" s="3">
        <v>-1</v>
      </c>
      <c r="M340" s="3">
        <v>103</v>
      </c>
    </row>
    <row r="341" spans="3:13" x14ac:dyDescent="0.2">
      <c r="C341">
        <v>1128</v>
      </c>
      <c r="D341">
        <v>38.991909999999997</v>
      </c>
      <c r="E341">
        <v>-77.102530999999999</v>
      </c>
      <c r="F341">
        <v>287</v>
      </c>
      <c r="G341">
        <v>8.2063000000000006</v>
      </c>
      <c r="I341" t="s">
        <v>137</v>
      </c>
      <c r="J341">
        <v>108109</v>
      </c>
      <c r="K341">
        <v>103845</v>
      </c>
      <c r="L341" s="3">
        <v>-1</v>
      </c>
      <c r="M341" s="3">
        <v>103</v>
      </c>
    </row>
    <row r="342" spans="3:13" x14ac:dyDescent="0.2">
      <c r="C342">
        <v>1128</v>
      </c>
      <c r="D342">
        <v>38.991914999999999</v>
      </c>
      <c r="E342">
        <v>-77.102583999999993</v>
      </c>
      <c r="F342">
        <v>288</v>
      </c>
      <c r="G342">
        <v>8.2090999999999994</v>
      </c>
      <c r="I342" t="s">
        <v>137</v>
      </c>
      <c r="J342">
        <v>108109</v>
      </c>
      <c r="K342">
        <v>108108</v>
      </c>
      <c r="L342" s="3">
        <v>-1</v>
      </c>
      <c r="M342" s="3">
        <v>103</v>
      </c>
    </row>
    <row r="343" spans="3:13" x14ac:dyDescent="0.2">
      <c r="C343">
        <v>1128</v>
      </c>
      <c r="D343">
        <v>38.991909999999997</v>
      </c>
      <c r="E343">
        <v>-77.102530999999999</v>
      </c>
      <c r="F343">
        <v>289</v>
      </c>
      <c r="G343">
        <v>8.2119</v>
      </c>
      <c r="I343" t="s">
        <v>137</v>
      </c>
      <c r="J343">
        <v>108878</v>
      </c>
      <c r="K343">
        <v>108882</v>
      </c>
      <c r="L343" s="3">
        <v>-1</v>
      </c>
      <c r="M343" s="3">
        <v>103</v>
      </c>
    </row>
    <row r="344" spans="3:13" x14ac:dyDescent="0.2">
      <c r="C344">
        <v>1128</v>
      </c>
      <c r="D344">
        <v>38.990898000000001</v>
      </c>
      <c r="E344">
        <v>-77.103149999999999</v>
      </c>
      <c r="F344">
        <v>290</v>
      </c>
      <c r="G344">
        <v>8.2889999999999997</v>
      </c>
      <c r="I344" t="s">
        <v>137</v>
      </c>
      <c r="J344">
        <v>108878</v>
      </c>
      <c r="K344">
        <v>755550</v>
      </c>
      <c r="L344" s="3">
        <v>-1</v>
      </c>
      <c r="M344" s="3">
        <v>103</v>
      </c>
    </row>
    <row r="345" spans="3:13" x14ac:dyDescent="0.2">
      <c r="C345">
        <v>1128</v>
      </c>
      <c r="D345">
        <v>38.990667999999999</v>
      </c>
      <c r="E345">
        <v>-77.103290999999999</v>
      </c>
      <c r="F345">
        <v>291</v>
      </c>
      <c r="G345">
        <v>8.3064</v>
      </c>
      <c r="I345" t="s">
        <v>137</v>
      </c>
      <c r="J345">
        <v>108882</v>
      </c>
      <c r="K345">
        <v>108878</v>
      </c>
      <c r="L345" s="3">
        <v>-1</v>
      </c>
      <c r="M345" s="3">
        <v>103</v>
      </c>
    </row>
    <row r="346" spans="3:13" x14ac:dyDescent="0.2">
      <c r="C346">
        <v>1128</v>
      </c>
      <c r="D346">
        <v>38.990309000000003</v>
      </c>
      <c r="E346">
        <v>-77.103521000000001</v>
      </c>
      <c r="F346">
        <v>292</v>
      </c>
      <c r="G346">
        <v>8.3338999999999999</v>
      </c>
      <c r="I346" t="s">
        <v>137</v>
      </c>
      <c r="J346">
        <v>108882</v>
      </c>
      <c r="K346">
        <v>108884</v>
      </c>
      <c r="L346" s="3">
        <v>-1</v>
      </c>
      <c r="M346" s="3">
        <v>103</v>
      </c>
    </row>
    <row r="347" spans="3:13" x14ac:dyDescent="0.2">
      <c r="C347">
        <v>1128</v>
      </c>
      <c r="D347">
        <v>38.990309000000003</v>
      </c>
      <c r="E347">
        <v>-77.103527999999997</v>
      </c>
      <c r="F347">
        <v>293</v>
      </c>
      <c r="G347">
        <v>8.3343000000000007</v>
      </c>
      <c r="I347" t="s">
        <v>137</v>
      </c>
      <c r="J347">
        <v>108882</v>
      </c>
      <c r="K347">
        <v>121805</v>
      </c>
      <c r="L347" s="3">
        <v>-1</v>
      </c>
      <c r="M347" s="3">
        <v>103</v>
      </c>
    </row>
    <row r="348" spans="3:13" x14ac:dyDescent="0.2">
      <c r="C348">
        <v>1128</v>
      </c>
      <c r="D348">
        <v>38.990837999999997</v>
      </c>
      <c r="E348">
        <v>-77.104381000000004</v>
      </c>
      <c r="F348">
        <v>294</v>
      </c>
      <c r="G348">
        <v>8.3932000000000002</v>
      </c>
      <c r="I348" t="s">
        <v>137</v>
      </c>
      <c r="J348">
        <v>108884</v>
      </c>
      <c r="K348">
        <v>108882</v>
      </c>
      <c r="L348" s="3">
        <v>-1</v>
      </c>
      <c r="M348" s="3">
        <v>103</v>
      </c>
    </row>
    <row r="349" spans="3:13" x14ac:dyDescent="0.2">
      <c r="C349">
        <v>1128</v>
      </c>
      <c r="D349">
        <v>38.991112000000001</v>
      </c>
      <c r="E349">
        <v>-77.104836000000006</v>
      </c>
      <c r="F349">
        <v>295</v>
      </c>
      <c r="G349">
        <v>8.4242000000000008</v>
      </c>
      <c r="I349" t="s">
        <v>137</v>
      </c>
      <c r="J349">
        <v>108884</v>
      </c>
      <c r="K349">
        <v>755549</v>
      </c>
      <c r="L349" s="3">
        <v>-1</v>
      </c>
      <c r="M349" s="3">
        <v>103</v>
      </c>
    </row>
    <row r="350" spans="3:13" x14ac:dyDescent="0.2">
      <c r="C350">
        <v>1128</v>
      </c>
      <c r="D350">
        <v>38.991148000000003</v>
      </c>
      <c r="E350">
        <v>-77.104800999999995</v>
      </c>
      <c r="F350">
        <v>296</v>
      </c>
      <c r="G350">
        <v>8.4273000000000007</v>
      </c>
      <c r="I350" t="s">
        <v>137</v>
      </c>
      <c r="J350">
        <v>108891</v>
      </c>
      <c r="K350">
        <v>108893</v>
      </c>
      <c r="L350" s="3">
        <v>-1</v>
      </c>
      <c r="M350" s="3">
        <v>103</v>
      </c>
    </row>
    <row r="351" spans="3:13" x14ac:dyDescent="0.2">
      <c r="C351">
        <v>1128</v>
      </c>
      <c r="D351">
        <v>38.991177999999998</v>
      </c>
      <c r="E351">
        <v>-77.104940999999997</v>
      </c>
      <c r="F351">
        <v>297</v>
      </c>
      <c r="G351">
        <v>8.4350000000000005</v>
      </c>
      <c r="I351" t="s">
        <v>137</v>
      </c>
      <c r="J351">
        <v>108891</v>
      </c>
      <c r="K351">
        <v>755548</v>
      </c>
      <c r="L351" s="3">
        <v>-1</v>
      </c>
      <c r="M351" s="3">
        <v>103</v>
      </c>
    </row>
    <row r="352" spans="3:13" x14ac:dyDescent="0.2">
      <c r="C352">
        <v>1128</v>
      </c>
      <c r="D352">
        <v>38.991529</v>
      </c>
      <c r="E352">
        <v>-77.105532999999994</v>
      </c>
      <c r="F352">
        <v>298</v>
      </c>
      <c r="G352">
        <v>8.4751999999999992</v>
      </c>
      <c r="I352" t="s">
        <v>137</v>
      </c>
      <c r="J352">
        <v>108891</v>
      </c>
      <c r="K352">
        <v>757407</v>
      </c>
      <c r="L352" s="3">
        <v>-1</v>
      </c>
      <c r="M352" s="3">
        <v>103</v>
      </c>
    </row>
    <row r="353" spans="3:13" x14ac:dyDescent="0.2">
      <c r="C353">
        <v>1128</v>
      </c>
      <c r="D353">
        <v>38.991759000000002</v>
      </c>
      <c r="E353">
        <v>-77.105881999999994</v>
      </c>
      <c r="F353">
        <v>299</v>
      </c>
      <c r="G353">
        <v>8.4998000000000005</v>
      </c>
      <c r="I353" t="s">
        <v>137</v>
      </c>
      <c r="J353">
        <v>108893</v>
      </c>
      <c r="K353">
        <v>108891</v>
      </c>
      <c r="L353" s="3">
        <v>-1</v>
      </c>
      <c r="M353" s="3">
        <v>103</v>
      </c>
    </row>
    <row r="354" spans="3:13" x14ac:dyDescent="0.2">
      <c r="C354">
        <v>1128</v>
      </c>
      <c r="D354">
        <v>38.991978000000003</v>
      </c>
      <c r="E354">
        <v>-77.106221000000005</v>
      </c>
      <c r="F354">
        <v>300</v>
      </c>
      <c r="G354">
        <v>8.5235000000000003</v>
      </c>
      <c r="I354" t="s">
        <v>137</v>
      </c>
      <c r="J354">
        <v>108893</v>
      </c>
      <c r="K354">
        <v>108894</v>
      </c>
      <c r="L354" s="3">
        <v>-1</v>
      </c>
      <c r="M354" s="3">
        <v>103</v>
      </c>
    </row>
    <row r="355" spans="3:13" x14ac:dyDescent="0.2">
      <c r="C355">
        <v>1128</v>
      </c>
      <c r="D355">
        <v>38.992006000000003</v>
      </c>
      <c r="E355">
        <v>-77.106267000000003</v>
      </c>
      <c r="F355">
        <v>301</v>
      </c>
      <c r="G355">
        <v>8.5265000000000004</v>
      </c>
      <c r="I355" t="s">
        <v>137</v>
      </c>
      <c r="J355">
        <v>108893</v>
      </c>
      <c r="K355">
        <v>108909</v>
      </c>
      <c r="L355" s="3">
        <v>-1</v>
      </c>
      <c r="M355" s="3">
        <v>103</v>
      </c>
    </row>
    <row r="356" spans="3:13" x14ac:dyDescent="0.2">
      <c r="C356">
        <v>1128</v>
      </c>
      <c r="D356">
        <v>38.991985999999997</v>
      </c>
      <c r="E356">
        <v>-77.106288000000006</v>
      </c>
      <c r="F356">
        <v>302</v>
      </c>
      <c r="G356">
        <v>8.5282</v>
      </c>
      <c r="I356" t="s">
        <v>137</v>
      </c>
      <c r="J356">
        <v>108894</v>
      </c>
      <c r="K356">
        <v>108893</v>
      </c>
      <c r="L356" s="3">
        <v>-1</v>
      </c>
      <c r="M356" s="3">
        <v>103</v>
      </c>
    </row>
    <row r="357" spans="3:13" x14ac:dyDescent="0.2">
      <c r="C357">
        <v>1128</v>
      </c>
      <c r="D357">
        <v>38.992528999999998</v>
      </c>
      <c r="E357">
        <v>-77.107043000000004</v>
      </c>
      <c r="F357">
        <v>303</v>
      </c>
      <c r="G357">
        <v>8.5837000000000003</v>
      </c>
      <c r="I357" t="s">
        <v>137</v>
      </c>
      <c r="J357">
        <v>108894</v>
      </c>
      <c r="K357">
        <v>108904</v>
      </c>
      <c r="L357" s="3">
        <v>-1</v>
      </c>
      <c r="M357" s="3">
        <v>103</v>
      </c>
    </row>
    <row r="358" spans="3:13" x14ac:dyDescent="0.2">
      <c r="C358">
        <v>1128</v>
      </c>
      <c r="D358">
        <v>38.992899000000001</v>
      </c>
      <c r="E358">
        <v>-77.107552999999996</v>
      </c>
      <c r="F358">
        <v>304</v>
      </c>
      <c r="G358">
        <v>8.6212</v>
      </c>
      <c r="I358" t="s">
        <v>137</v>
      </c>
      <c r="J358">
        <v>108904</v>
      </c>
      <c r="K358">
        <v>108894</v>
      </c>
      <c r="L358" s="3">
        <v>-1</v>
      </c>
      <c r="M358" s="3">
        <v>103</v>
      </c>
    </row>
    <row r="359" spans="3:13" x14ac:dyDescent="0.2">
      <c r="C359">
        <v>1128</v>
      </c>
      <c r="D359">
        <v>38.992998</v>
      </c>
      <c r="E359">
        <v>-77.107671999999994</v>
      </c>
      <c r="F359">
        <v>305</v>
      </c>
      <c r="G359">
        <v>8.6304999999999996</v>
      </c>
      <c r="I359" t="s">
        <v>137</v>
      </c>
      <c r="J359">
        <v>108904</v>
      </c>
      <c r="K359">
        <v>108909</v>
      </c>
      <c r="L359" s="3">
        <v>-1</v>
      </c>
      <c r="M359" s="3">
        <v>103</v>
      </c>
    </row>
    <row r="360" spans="3:13" x14ac:dyDescent="0.2">
      <c r="C360">
        <v>1128</v>
      </c>
      <c r="D360">
        <v>38.993032999999997</v>
      </c>
      <c r="E360">
        <v>-77.107716999999994</v>
      </c>
      <c r="F360">
        <v>306</v>
      </c>
      <c r="G360">
        <v>8.6339000000000006</v>
      </c>
      <c r="I360" t="s">
        <v>137</v>
      </c>
      <c r="J360">
        <v>108909</v>
      </c>
      <c r="K360">
        <v>108894</v>
      </c>
      <c r="L360" s="3">
        <v>-1</v>
      </c>
      <c r="M360" s="3">
        <v>103</v>
      </c>
    </row>
    <row r="361" spans="3:13" x14ac:dyDescent="0.2">
      <c r="C361">
        <v>1128</v>
      </c>
      <c r="D361">
        <v>38.993017000000002</v>
      </c>
      <c r="E361">
        <v>-77.107737999999998</v>
      </c>
      <c r="F361">
        <v>307</v>
      </c>
      <c r="G361">
        <v>8.6354000000000006</v>
      </c>
      <c r="I361" t="s">
        <v>137</v>
      </c>
      <c r="J361">
        <v>108909</v>
      </c>
      <c r="K361">
        <v>108904</v>
      </c>
      <c r="L361" s="3">
        <v>-1</v>
      </c>
      <c r="M361" s="3">
        <v>103</v>
      </c>
    </row>
    <row r="362" spans="3:13" x14ac:dyDescent="0.2">
      <c r="C362">
        <v>1128</v>
      </c>
      <c r="D362">
        <v>38.993068999999998</v>
      </c>
      <c r="E362">
        <v>-77.107761999999994</v>
      </c>
      <c r="F362">
        <v>308</v>
      </c>
      <c r="G362">
        <v>8.6392000000000007</v>
      </c>
      <c r="I362" t="s">
        <v>137</v>
      </c>
      <c r="J362">
        <v>109112</v>
      </c>
      <c r="K362">
        <v>9</v>
      </c>
      <c r="L362" s="3">
        <v>-1</v>
      </c>
      <c r="M362" s="3">
        <v>103</v>
      </c>
    </row>
    <row r="363" spans="3:13" x14ac:dyDescent="0.2">
      <c r="C363">
        <v>1128</v>
      </c>
      <c r="D363">
        <v>38.993428000000002</v>
      </c>
      <c r="E363">
        <v>-77.108092999999997</v>
      </c>
      <c r="F363">
        <v>309</v>
      </c>
      <c r="G363">
        <v>8.6697000000000006</v>
      </c>
      <c r="I363" t="s">
        <v>137</v>
      </c>
      <c r="J363">
        <v>109112</v>
      </c>
      <c r="K363">
        <v>108105</v>
      </c>
      <c r="L363" s="3">
        <v>-1</v>
      </c>
      <c r="M363" s="3">
        <v>103</v>
      </c>
    </row>
    <row r="364" spans="3:13" x14ac:dyDescent="0.2">
      <c r="C364">
        <v>1128</v>
      </c>
      <c r="D364">
        <v>38.993597999999999</v>
      </c>
      <c r="E364">
        <v>-77.108221</v>
      </c>
      <c r="F364">
        <v>310</v>
      </c>
      <c r="G364">
        <v>8.6832999999999991</v>
      </c>
      <c r="I364" t="s">
        <v>137</v>
      </c>
      <c r="J364">
        <v>109112</v>
      </c>
      <c r="K364">
        <v>756007</v>
      </c>
      <c r="L364" s="3">
        <v>-1</v>
      </c>
      <c r="M364" s="3">
        <v>103</v>
      </c>
    </row>
    <row r="365" spans="3:13" x14ac:dyDescent="0.2">
      <c r="C365">
        <v>1128</v>
      </c>
      <c r="D365">
        <v>38.993929000000001</v>
      </c>
      <c r="E365">
        <v>-77.108393000000007</v>
      </c>
      <c r="F365">
        <v>311</v>
      </c>
      <c r="G365">
        <v>8.7080000000000002</v>
      </c>
      <c r="I365" t="s">
        <v>137</v>
      </c>
      <c r="J365">
        <v>109524</v>
      </c>
      <c r="K365">
        <v>757407</v>
      </c>
      <c r="L365" s="3">
        <v>-1</v>
      </c>
      <c r="M365" s="3">
        <v>103</v>
      </c>
    </row>
    <row r="366" spans="3:13" x14ac:dyDescent="0.2">
      <c r="C366">
        <v>1128</v>
      </c>
      <c r="D366">
        <v>38.994687999999996</v>
      </c>
      <c r="E366">
        <v>-77.108661999999995</v>
      </c>
      <c r="F366">
        <v>312</v>
      </c>
      <c r="G366">
        <v>8.7624999999999993</v>
      </c>
      <c r="I366" t="s">
        <v>137</v>
      </c>
      <c r="J366">
        <v>109884</v>
      </c>
      <c r="K366">
        <v>109885</v>
      </c>
      <c r="L366" s="3">
        <v>-1</v>
      </c>
      <c r="M366" s="3">
        <v>103</v>
      </c>
    </row>
    <row r="367" spans="3:13" x14ac:dyDescent="0.2">
      <c r="C367">
        <v>1128</v>
      </c>
      <c r="D367">
        <v>38.995137999999997</v>
      </c>
      <c r="E367">
        <v>-77.108772999999999</v>
      </c>
      <c r="F367">
        <v>313</v>
      </c>
      <c r="G367">
        <v>8.7941000000000003</v>
      </c>
      <c r="I367" t="s">
        <v>137</v>
      </c>
      <c r="J367">
        <v>109885</v>
      </c>
      <c r="K367">
        <v>103836</v>
      </c>
      <c r="L367" s="3">
        <v>-1</v>
      </c>
      <c r="M367" s="3">
        <v>103</v>
      </c>
    </row>
    <row r="368" spans="3:13" x14ac:dyDescent="0.2">
      <c r="C368">
        <v>1128</v>
      </c>
      <c r="D368">
        <v>38.995126999999997</v>
      </c>
      <c r="E368">
        <v>-77.108823000000001</v>
      </c>
      <c r="F368">
        <v>314</v>
      </c>
      <c r="G368">
        <v>8.7967999999999993</v>
      </c>
      <c r="I368" t="s">
        <v>137</v>
      </c>
      <c r="J368">
        <v>109885</v>
      </c>
      <c r="K368">
        <v>109884</v>
      </c>
      <c r="L368" s="3">
        <v>-1</v>
      </c>
      <c r="M368" s="3">
        <v>103</v>
      </c>
    </row>
    <row r="369" spans="3:13" x14ac:dyDescent="0.2">
      <c r="C369">
        <v>1128</v>
      </c>
      <c r="D369">
        <v>38.995151</v>
      </c>
      <c r="E369">
        <v>-77.108825999999993</v>
      </c>
      <c r="F369">
        <v>315</v>
      </c>
      <c r="G369">
        <v>8.7985000000000007</v>
      </c>
      <c r="I369" t="s">
        <v>137</v>
      </c>
      <c r="J369">
        <v>113039</v>
      </c>
      <c r="K369">
        <v>113044</v>
      </c>
      <c r="L369" s="3">
        <v>-1</v>
      </c>
      <c r="M369" s="3">
        <v>103</v>
      </c>
    </row>
    <row r="370" spans="3:13" x14ac:dyDescent="0.2">
      <c r="C370">
        <v>1128</v>
      </c>
      <c r="D370">
        <v>38.995137999999997</v>
      </c>
      <c r="E370">
        <v>-77.108772999999999</v>
      </c>
      <c r="F370">
        <v>316</v>
      </c>
      <c r="G370">
        <v>8.8012999999999995</v>
      </c>
      <c r="I370" t="s">
        <v>137</v>
      </c>
      <c r="J370">
        <v>113039</v>
      </c>
      <c r="K370">
        <v>327513</v>
      </c>
      <c r="L370" s="3">
        <v>-1</v>
      </c>
      <c r="M370" s="3">
        <v>103</v>
      </c>
    </row>
    <row r="371" spans="3:13" x14ac:dyDescent="0.2">
      <c r="C371">
        <v>1128</v>
      </c>
      <c r="D371">
        <v>38.995868999999999</v>
      </c>
      <c r="E371">
        <v>-77.108992999999998</v>
      </c>
      <c r="F371">
        <v>317</v>
      </c>
      <c r="G371">
        <v>8.8531999999999993</v>
      </c>
      <c r="I371" t="s">
        <v>137</v>
      </c>
      <c r="J371">
        <v>113044</v>
      </c>
      <c r="K371">
        <v>113039</v>
      </c>
      <c r="L371" s="3">
        <v>-1</v>
      </c>
      <c r="M371" s="3">
        <v>103</v>
      </c>
    </row>
    <row r="372" spans="3:13" x14ac:dyDescent="0.2">
      <c r="C372">
        <v>1128</v>
      </c>
      <c r="D372">
        <v>38.996560000000002</v>
      </c>
      <c r="E372">
        <v>-77.109100999999995</v>
      </c>
      <c r="F372">
        <v>318</v>
      </c>
      <c r="G372">
        <v>8.9013000000000009</v>
      </c>
      <c r="I372" t="s">
        <v>137</v>
      </c>
      <c r="J372">
        <v>113044</v>
      </c>
      <c r="K372">
        <v>113045</v>
      </c>
      <c r="L372" s="3">
        <v>-1</v>
      </c>
      <c r="M372" s="3">
        <v>103</v>
      </c>
    </row>
    <row r="373" spans="3:13" x14ac:dyDescent="0.2">
      <c r="C373">
        <v>1128</v>
      </c>
      <c r="D373">
        <v>38.996575999999997</v>
      </c>
      <c r="E373">
        <v>-77.109076000000002</v>
      </c>
      <c r="F373">
        <v>319</v>
      </c>
      <c r="G373">
        <v>8.9030000000000005</v>
      </c>
      <c r="I373" t="s">
        <v>137</v>
      </c>
      <c r="J373">
        <v>113044</v>
      </c>
      <c r="K373">
        <v>327513</v>
      </c>
      <c r="L373" s="3">
        <v>-1</v>
      </c>
      <c r="M373" s="3">
        <v>103</v>
      </c>
    </row>
    <row r="374" spans="3:13" x14ac:dyDescent="0.2">
      <c r="C374">
        <v>1128</v>
      </c>
      <c r="D374">
        <v>38.996560000000002</v>
      </c>
      <c r="E374">
        <v>-77.109100999999995</v>
      </c>
      <c r="F374">
        <v>320</v>
      </c>
      <c r="G374">
        <v>8.9047000000000001</v>
      </c>
      <c r="I374" t="s">
        <v>137</v>
      </c>
      <c r="J374">
        <v>113045</v>
      </c>
      <c r="K374">
        <v>113044</v>
      </c>
      <c r="L374" s="3">
        <v>-1</v>
      </c>
      <c r="M374" s="3">
        <v>103</v>
      </c>
    </row>
    <row r="375" spans="3:13" x14ac:dyDescent="0.2">
      <c r="C375">
        <v>1128</v>
      </c>
      <c r="D375">
        <v>38.998170999999999</v>
      </c>
      <c r="E375">
        <v>-77.109352000000001</v>
      </c>
      <c r="F375">
        <v>321</v>
      </c>
      <c r="G375">
        <v>9.0169999999999995</v>
      </c>
      <c r="I375" t="s">
        <v>137</v>
      </c>
      <c r="J375">
        <v>113045</v>
      </c>
      <c r="K375">
        <v>113046</v>
      </c>
      <c r="L375" s="3">
        <v>-1</v>
      </c>
      <c r="M375" s="3">
        <v>103</v>
      </c>
    </row>
    <row r="376" spans="3:13" x14ac:dyDescent="0.2">
      <c r="C376">
        <v>1128</v>
      </c>
      <c r="D376">
        <v>38.998176999999998</v>
      </c>
      <c r="E376">
        <v>-77.109319999999997</v>
      </c>
      <c r="F376">
        <v>322</v>
      </c>
      <c r="G376">
        <v>9.0188000000000006</v>
      </c>
      <c r="I376" t="s">
        <v>137</v>
      </c>
      <c r="J376">
        <v>113046</v>
      </c>
      <c r="K376">
        <v>113045</v>
      </c>
      <c r="L376" s="3">
        <v>-1</v>
      </c>
      <c r="M376" s="3">
        <v>103</v>
      </c>
    </row>
    <row r="377" spans="3:13" x14ac:dyDescent="0.2">
      <c r="C377">
        <v>1128</v>
      </c>
      <c r="D377">
        <v>38.998179</v>
      </c>
      <c r="E377">
        <v>-77.109352000000001</v>
      </c>
      <c r="F377">
        <v>323</v>
      </c>
      <c r="G377">
        <v>9.0205000000000002</v>
      </c>
      <c r="I377" t="s">
        <v>137</v>
      </c>
      <c r="J377">
        <v>113046</v>
      </c>
      <c r="K377">
        <v>755997</v>
      </c>
      <c r="L377" s="3">
        <v>-1</v>
      </c>
      <c r="M377" s="3">
        <v>103</v>
      </c>
    </row>
    <row r="378" spans="3:13" x14ac:dyDescent="0.2">
      <c r="C378">
        <v>1128</v>
      </c>
      <c r="D378">
        <v>38.999398999999997</v>
      </c>
      <c r="E378">
        <v>-77.109522999999996</v>
      </c>
      <c r="F378">
        <v>324</v>
      </c>
      <c r="G378">
        <v>9.1052999999999997</v>
      </c>
      <c r="I378" t="s">
        <v>137</v>
      </c>
      <c r="J378">
        <v>113795</v>
      </c>
      <c r="K378">
        <v>113797</v>
      </c>
      <c r="L378" s="3">
        <v>-1</v>
      </c>
      <c r="M378" s="3">
        <v>103</v>
      </c>
    </row>
    <row r="379" spans="3:13" x14ac:dyDescent="0.2">
      <c r="C379">
        <v>1128</v>
      </c>
      <c r="D379">
        <v>39.000098000000001</v>
      </c>
      <c r="E379">
        <v>-77.109630999999993</v>
      </c>
      <c r="F379">
        <v>325</v>
      </c>
      <c r="G379">
        <v>9.1539999999999999</v>
      </c>
      <c r="I379" t="s">
        <v>137</v>
      </c>
      <c r="J379">
        <v>113795</v>
      </c>
      <c r="K379">
        <v>755248</v>
      </c>
      <c r="L379" s="3">
        <v>-1</v>
      </c>
      <c r="M379" s="3">
        <v>103</v>
      </c>
    </row>
    <row r="380" spans="3:13" x14ac:dyDescent="0.2">
      <c r="C380">
        <v>1128</v>
      </c>
      <c r="D380">
        <v>39.001690000000004</v>
      </c>
      <c r="E380">
        <v>-77.109851000000006</v>
      </c>
      <c r="F380">
        <v>326</v>
      </c>
      <c r="G380">
        <v>9.2645999999999997</v>
      </c>
      <c r="I380" t="s">
        <v>137</v>
      </c>
      <c r="J380">
        <v>113797</v>
      </c>
      <c r="K380">
        <v>113795</v>
      </c>
      <c r="L380" s="3">
        <v>-1</v>
      </c>
      <c r="M380" s="3">
        <v>103</v>
      </c>
    </row>
    <row r="381" spans="3:13" x14ac:dyDescent="0.2">
      <c r="C381">
        <v>1128</v>
      </c>
      <c r="D381">
        <v>39.002029</v>
      </c>
      <c r="E381">
        <v>-77.109913000000006</v>
      </c>
      <c r="F381">
        <v>327</v>
      </c>
      <c r="G381">
        <v>9.2882999999999996</v>
      </c>
      <c r="I381" t="s">
        <v>137</v>
      </c>
      <c r="J381">
        <v>114113</v>
      </c>
      <c r="K381">
        <v>114114</v>
      </c>
      <c r="L381" s="3">
        <v>-1</v>
      </c>
      <c r="M381" s="3">
        <v>103</v>
      </c>
    </row>
    <row r="382" spans="3:13" x14ac:dyDescent="0.2">
      <c r="C382">
        <v>1128</v>
      </c>
      <c r="D382">
        <v>39.002369000000002</v>
      </c>
      <c r="E382">
        <v>-77.109971999999999</v>
      </c>
      <c r="F382">
        <v>328</v>
      </c>
      <c r="G382">
        <v>9.3118999999999996</v>
      </c>
      <c r="I382" t="s">
        <v>137</v>
      </c>
      <c r="J382">
        <v>114113</v>
      </c>
      <c r="K382">
        <v>230895</v>
      </c>
      <c r="L382" s="3">
        <v>-1</v>
      </c>
      <c r="M382" s="3">
        <v>103</v>
      </c>
    </row>
    <row r="383" spans="3:13" x14ac:dyDescent="0.2">
      <c r="C383">
        <v>1128</v>
      </c>
      <c r="D383">
        <v>39.002799000000003</v>
      </c>
      <c r="E383">
        <v>-77.110073</v>
      </c>
      <c r="F383">
        <v>329</v>
      </c>
      <c r="G383">
        <v>9.3420000000000005</v>
      </c>
      <c r="I383" t="s">
        <v>137</v>
      </c>
      <c r="J383">
        <v>114114</v>
      </c>
      <c r="K383">
        <v>114113</v>
      </c>
      <c r="L383" s="3">
        <v>-1</v>
      </c>
      <c r="M383" s="3">
        <v>103</v>
      </c>
    </row>
    <row r="384" spans="3:13" x14ac:dyDescent="0.2">
      <c r="C384">
        <v>1128</v>
      </c>
      <c r="D384">
        <v>39.003098000000001</v>
      </c>
      <c r="E384">
        <v>-77.110161000000005</v>
      </c>
      <c r="F384">
        <v>330</v>
      </c>
      <c r="G384">
        <v>9.3633000000000006</v>
      </c>
      <c r="I384" t="s">
        <v>137</v>
      </c>
      <c r="J384">
        <v>114114</v>
      </c>
      <c r="K384">
        <v>114116</v>
      </c>
      <c r="L384" s="3">
        <v>-1</v>
      </c>
      <c r="M384" s="3">
        <v>103</v>
      </c>
    </row>
    <row r="385" spans="3:13" x14ac:dyDescent="0.2">
      <c r="C385">
        <v>1128</v>
      </c>
      <c r="D385">
        <v>39.003357999999999</v>
      </c>
      <c r="E385">
        <v>-77.110242</v>
      </c>
      <c r="F385">
        <v>331</v>
      </c>
      <c r="G385">
        <v>9.3816000000000006</v>
      </c>
      <c r="I385" t="s">
        <v>137</v>
      </c>
      <c r="J385">
        <v>114114</v>
      </c>
      <c r="K385">
        <v>114334</v>
      </c>
      <c r="L385" s="3">
        <v>-1</v>
      </c>
      <c r="M385" s="3">
        <v>103</v>
      </c>
    </row>
    <row r="386" spans="3:13" x14ac:dyDescent="0.2">
      <c r="C386">
        <v>1128</v>
      </c>
      <c r="D386">
        <v>39.003599999999999</v>
      </c>
      <c r="E386">
        <v>-77.110341000000005</v>
      </c>
      <c r="F386">
        <v>332</v>
      </c>
      <c r="G386">
        <v>9.3991000000000007</v>
      </c>
      <c r="I386" t="s">
        <v>137</v>
      </c>
      <c r="J386">
        <v>114116</v>
      </c>
      <c r="K386">
        <v>114118</v>
      </c>
      <c r="L386" s="3">
        <v>-1</v>
      </c>
      <c r="M386" s="3">
        <v>103</v>
      </c>
    </row>
    <row r="387" spans="3:13" x14ac:dyDescent="0.2">
      <c r="C387">
        <v>1128</v>
      </c>
      <c r="D387">
        <v>39.003630000000001</v>
      </c>
      <c r="E387">
        <v>-77.110322999999994</v>
      </c>
      <c r="F387">
        <v>333</v>
      </c>
      <c r="G387">
        <v>9.4013000000000009</v>
      </c>
      <c r="I387" t="s">
        <v>137</v>
      </c>
      <c r="J387">
        <v>114118</v>
      </c>
      <c r="K387">
        <v>114119</v>
      </c>
      <c r="L387" s="3">
        <v>-1</v>
      </c>
      <c r="M387" s="3">
        <v>103</v>
      </c>
    </row>
    <row r="388" spans="3:13" x14ac:dyDescent="0.2">
      <c r="C388">
        <v>1128</v>
      </c>
      <c r="D388">
        <v>39.003599999999999</v>
      </c>
      <c r="E388">
        <v>-77.110341000000005</v>
      </c>
      <c r="F388">
        <v>334</v>
      </c>
      <c r="G388">
        <v>9.4036000000000008</v>
      </c>
      <c r="I388" t="s">
        <v>137</v>
      </c>
      <c r="J388">
        <v>114118</v>
      </c>
      <c r="K388">
        <v>232440</v>
      </c>
      <c r="L388" s="3">
        <v>-1</v>
      </c>
      <c r="M388" s="3">
        <v>103</v>
      </c>
    </row>
    <row r="389" spans="3:13" x14ac:dyDescent="0.2">
      <c r="C389">
        <v>1128</v>
      </c>
      <c r="D389">
        <v>39.003357999999999</v>
      </c>
      <c r="E389">
        <v>-77.110242</v>
      </c>
      <c r="F389">
        <v>335</v>
      </c>
      <c r="G389">
        <v>9.4209999999999994</v>
      </c>
      <c r="I389" t="s">
        <v>137</v>
      </c>
      <c r="J389">
        <v>114119</v>
      </c>
      <c r="K389">
        <v>232440</v>
      </c>
      <c r="L389" s="3">
        <v>-1</v>
      </c>
      <c r="M389" s="3">
        <v>103</v>
      </c>
    </row>
    <row r="390" spans="3:13" x14ac:dyDescent="0.2">
      <c r="C390">
        <v>1128</v>
      </c>
      <c r="D390">
        <v>39.003098000000001</v>
      </c>
      <c r="E390">
        <v>-77.110161000000005</v>
      </c>
      <c r="F390">
        <v>336</v>
      </c>
      <c r="G390">
        <v>9.4393999999999991</v>
      </c>
      <c r="I390" t="s">
        <v>137</v>
      </c>
      <c r="J390">
        <v>114257</v>
      </c>
      <c r="K390">
        <v>114259</v>
      </c>
      <c r="L390" s="3">
        <v>-1</v>
      </c>
      <c r="M390" s="3">
        <v>103</v>
      </c>
    </row>
    <row r="391" spans="3:13" x14ac:dyDescent="0.2">
      <c r="C391">
        <v>1128</v>
      </c>
      <c r="D391">
        <v>39.002799000000003</v>
      </c>
      <c r="E391">
        <v>-77.110073</v>
      </c>
      <c r="F391">
        <v>337</v>
      </c>
      <c r="G391">
        <v>9.4605999999999995</v>
      </c>
      <c r="I391" t="s">
        <v>137</v>
      </c>
      <c r="J391">
        <v>114257</v>
      </c>
      <c r="K391">
        <v>755249</v>
      </c>
      <c r="L391" s="3">
        <v>-1</v>
      </c>
      <c r="M391" s="3">
        <v>103</v>
      </c>
    </row>
    <row r="392" spans="3:13" x14ac:dyDescent="0.2">
      <c r="C392">
        <v>1128</v>
      </c>
      <c r="D392">
        <v>39.002830000000003</v>
      </c>
      <c r="E392">
        <v>-77.109909999999999</v>
      </c>
      <c r="F392">
        <v>338</v>
      </c>
      <c r="G392">
        <v>9.4695</v>
      </c>
      <c r="I392" t="s">
        <v>137</v>
      </c>
      <c r="J392">
        <v>114259</v>
      </c>
      <c r="K392">
        <v>114257</v>
      </c>
      <c r="L392" s="3">
        <v>-1</v>
      </c>
      <c r="M392" s="3">
        <v>103</v>
      </c>
    </row>
    <row r="393" spans="3:13" x14ac:dyDescent="0.2">
      <c r="C393">
        <v>1128</v>
      </c>
      <c r="D393">
        <v>39.003619</v>
      </c>
      <c r="E393">
        <v>-77.110181999999995</v>
      </c>
      <c r="F393">
        <v>339</v>
      </c>
      <c r="G393">
        <v>9.5259</v>
      </c>
      <c r="I393" t="s">
        <v>137</v>
      </c>
      <c r="J393">
        <v>114259</v>
      </c>
      <c r="K393">
        <v>755250</v>
      </c>
      <c r="L393" s="3">
        <v>-1</v>
      </c>
      <c r="M393" s="3">
        <v>103</v>
      </c>
    </row>
    <row r="394" spans="3:13" x14ac:dyDescent="0.2">
      <c r="C394">
        <v>1128</v>
      </c>
      <c r="D394">
        <v>39.004128000000001</v>
      </c>
      <c r="E394">
        <v>-77.110401999999993</v>
      </c>
      <c r="F394">
        <v>340</v>
      </c>
      <c r="G394">
        <v>9.5631000000000004</v>
      </c>
      <c r="I394" t="s">
        <v>137</v>
      </c>
      <c r="J394">
        <v>114259</v>
      </c>
      <c r="K394">
        <v>756400</v>
      </c>
      <c r="L394" s="3">
        <v>-1</v>
      </c>
      <c r="M394" s="3">
        <v>103</v>
      </c>
    </row>
    <row r="395" spans="3:13" x14ac:dyDescent="0.2">
      <c r="C395">
        <v>1128</v>
      </c>
      <c r="D395">
        <v>39.004517999999997</v>
      </c>
      <c r="E395">
        <v>-77.110579999999999</v>
      </c>
      <c r="F395">
        <v>341</v>
      </c>
      <c r="G395">
        <v>9.5916999999999994</v>
      </c>
      <c r="I395" t="s">
        <v>137</v>
      </c>
      <c r="J395">
        <v>114268</v>
      </c>
      <c r="K395">
        <v>756400</v>
      </c>
      <c r="L395" s="3">
        <v>-1</v>
      </c>
      <c r="M395" s="3">
        <v>103</v>
      </c>
    </row>
    <row r="396" spans="3:13" x14ac:dyDescent="0.2">
      <c r="C396">
        <v>1128</v>
      </c>
      <c r="D396">
        <v>39.004807999999997</v>
      </c>
      <c r="E396">
        <v>-77.110720999999998</v>
      </c>
      <c r="F396">
        <v>342</v>
      </c>
      <c r="G396">
        <v>9.6130999999999993</v>
      </c>
      <c r="I396" t="s">
        <v>137</v>
      </c>
      <c r="J396">
        <v>114330</v>
      </c>
      <c r="K396">
        <v>114332</v>
      </c>
      <c r="L396" s="3">
        <v>-1</v>
      </c>
      <c r="M396" s="3">
        <v>103</v>
      </c>
    </row>
    <row r="397" spans="3:13" x14ac:dyDescent="0.2">
      <c r="C397">
        <v>1128</v>
      </c>
      <c r="D397">
        <v>39.005189000000001</v>
      </c>
      <c r="E397">
        <v>-77.110917000000001</v>
      </c>
      <c r="F397">
        <v>343</v>
      </c>
      <c r="G397">
        <v>9.6415000000000006</v>
      </c>
      <c r="I397" t="s">
        <v>137</v>
      </c>
      <c r="J397">
        <v>114330</v>
      </c>
      <c r="K397">
        <v>121817</v>
      </c>
      <c r="L397" s="3">
        <v>-1</v>
      </c>
      <c r="M397" s="3">
        <v>103</v>
      </c>
    </row>
    <row r="398" spans="3:13" x14ac:dyDescent="0.2">
      <c r="C398">
        <v>1128</v>
      </c>
      <c r="D398">
        <v>39.005200000000002</v>
      </c>
      <c r="E398">
        <v>-77.110889</v>
      </c>
      <c r="F398">
        <v>344</v>
      </c>
      <c r="G398">
        <v>9.6430000000000007</v>
      </c>
      <c r="I398" t="s">
        <v>137</v>
      </c>
      <c r="J398">
        <v>114332</v>
      </c>
      <c r="K398">
        <v>114330</v>
      </c>
      <c r="L398" s="3">
        <v>-1</v>
      </c>
      <c r="M398" s="3">
        <v>103</v>
      </c>
    </row>
    <row r="399" spans="3:13" x14ac:dyDescent="0.2">
      <c r="C399">
        <v>1128</v>
      </c>
      <c r="D399">
        <v>39.005339999999997</v>
      </c>
      <c r="E399">
        <v>-77.110992999999993</v>
      </c>
      <c r="F399">
        <v>345</v>
      </c>
      <c r="G399">
        <v>9.6541999999999994</v>
      </c>
      <c r="I399" t="s">
        <v>137</v>
      </c>
      <c r="J399">
        <v>114332</v>
      </c>
      <c r="K399">
        <v>114334</v>
      </c>
      <c r="L399" s="3">
        <v>-1</v>
      </c>
      <c r="M399" s="3">
        <v>103</v>
      </c>
    </row>
    <row r="400" spans="3:13" x14ac:dyDescent="0.2">
      <c r="C400">
        <v>1128</v>
      </c>
      <c r="D400">
        <v>39.006559000000003</v>
      </c>
      <c r="E400">
        <v>-77.111700999999996</v>
      </c>
      <c r="F400">
        <v>346</v>
      </c>
      <c r="G400">
        <v>9.7468000000000004</v>
      </c>
      <c r="I400" t="s">
        <v>137</v>
      </c>
      <c r="J400">
        <v>114334</v>
      </c>
      <c r="K400">
        <v>114336</v>
      </c>
      <c r="L400" s="3">
        <v>-1</v>
      </c>
      <c r="M400" s="3">
        <v>103</v>
      </c>
    </row>
    <row r="401" spans="3:13" x14ac:dyDescent="0.2">
      <c r="C401">
        <v>1128</v>
      </c>
      <c r="D401">
        <v>39.006506999999999</v>
      </c>
      <c r="E401">
        <v>-77.111795999999998</v>
      </c>
      <c r="F401">
        <v>347</v>
      </c>
      <c r="G401">
        <v>9.7530000000000001</v>
      </c>
      <c r="I401" t="s">
        <v>137</v>
      </c>
      <c r="J401">
        <v>114334</v>
      </c>
      <c r="K401">
        <v>121817</v>
      </c>
      <c r="L401" s="3">
        <v>-1</v>
      </c>
      <c r="M401" s="3">
        <v>103</v>
      </c>
    </row>
    <row r="402" spans="3:13" x14ac:dyDescent="0.2">
      <c r="C402">
        <v>1128</v>
      </c>
      <c r="D402">
        <v>39.006529</v>
      </c>
      <c r="E402">
        <v>-77.111813999999995</v>
      </c>
      <c r="F402">
        <v>348</v>
      </c>
      <c r="G402">
        <v>9.7546999999999997</v>
      </c>
      <c r="I402" t="s">
        <v>137</v>
      </c>
      <c r="J402">
        <v>114336</v>
      </c>
      <c r="K402">
        <v>114337</v>
      </c>
      <c r="L402" s="3">
        <v>-1</v>
      </c>
      <c r="M402" s="3">
        <v>103</v>
      </c>
    </row>
    <row r="403" spans="3:13" x14ac:dyDescent="0.2">
      <c r="C403">
        <v>1128</v>
      </c>
      <c r="D403">
        <v>39.006487999999997</v>
      </c>
      <c r="E403">
        <v>-77.111832000000007</v>
      </c>
      <c r="F403">
        <v>349</v>
      </c>
      <c r="G403">
        <v>9.7576000000000001</v>
      </c>
      <c r="I403" t="s">
        <v>137</v>
      </c>
      <c r="J403">
        <v>114337</v>
      </c>
      <c r="K403">
        <v>114114</v>
      </c>
      <c r="L403" s="3">
        <v>-1</v>
      </c>
      <c r="M403" s="3">
        <v>103</v>
      </c>
    </row>
    <row r="404" spans="3:13" x14ac:dyDescent="0.2">
      <c r="C404">
        <v>1128</v>
      </c>
      <c r="D404">
        <v>39.006819</v>
      </c>
      <c r="E404">
        <v>-77.112060999999997</v>
      </c>
      <c r="F404">
        <v>350</v>
      </c>
      <c r="G404">
        <v>9.7835000000000001</v>
      </c>
      <c r="I404" t="s">
        <v>137</v>
      </c>
      <c r="J404">
        <v>116367</v>
      </c>
      <c r="K404">
        <v>116370</v>
      </c>
      <c r="L404" s="3">
        <v>-1</v>
      </c>
      <c r="M404" s="3">
        <v>103</v>
      </c>
    </row>
    <row r="405" spans="3:13" x14ac:dyDescent="0.2">
      <c r="C405">
        <v>1128</v>
      </c>
      <c r="D405">
        <v>39.007328999999999</v>
      </c>
      <c r="E405">
        <v>-77.112420999999998</v>
      </c>
      <c r="F405">
        <v>351</v>
      </c>
      <c r="G405">
        <v>9.8239000000000001</v>
      </c>
      <c r="I405" t="s">
        <v>137</v>
      </c>
      <c r="J405">
        <v>116370</v>
      </c>
      <c r="K405">
        <v>116367</v>
      </c>
      <c r="L405" s="3">
        <v>-1</v>
      </c>
      <c r="M405" s="3">
        <v>103</v>
      </c>
    </row>
    <row r="406" spans="3:13" x14ac:dyDescent="0.2">
      <c r="C406">
        <v>1128</v>
      </c>
      <c r="D406">
        <v>39.00788</v>
      </c>
      <c r="E406">
        <v>-77.112900999999994</v>
      </c>
      <c r="F406">
        <v>352</v>
      </c>
      <c r="G406">
        <v>9.8698999999999995</v>
      </c>
      <c r="I406" t="s">
        <v>137</v>
      </c>
      <c r="J406">
        <v>116370</v>
      </c>
      <c r="K406">
        <v>116371</v>
      </c>
      <c r="L406" s="3">
        <v>-1</v>
      </c>
      <c r="M406" s="3">
        <v>103</v>
      </c>
    </row>
    <row r="407" spans="3:13" x14ac:dyDescent="0.2">
      <c r="C407">
        <v>1128</v>
      </c>
      <c r="D407">
        <v>39.008597999999999</v>
      </c>
      <c r="E407">
        <v>-77.113540999999998</v>
      </c>
      <c r="F407">
        <v>353</v>
      </c>
      <c r="G407">
        <v>9.9305000000000003</v>
      </c>
      <c r="I407" t="s">
        <v>137</v>
      </c>
      <c r="J407">
        <v>116370</v>
      </c>
      <c r="K407">
        <v>231815</v>
      </c>
      <c r="L407" s="3">
        <v>-1</v>
      </c>
      <c r="M407" s="3">
        <v>103</v>
      </c>
    </row>
    <row r="408" spans="3:13" x14ac:dyDescent="0.2">
      <c r="C408">
        <v>1128</v>
      </c>
      <c r="D408">
        <v>39.008650000000003</v>
      </c>
      <c r="E408">
        <v>-77.113589000000005</v>
      </c>
      <c r="F408">
        <v>354</v>
      </c>
      <c r="G408">
        <v>9.9347999999999992</v>
      </c>
      <c r="I408" t="s">
        <v>137</v>
      </c>
      <c r="J408">
        <v>116371</v>
      </c>
      <c r="K408">
        <v>116370</v>
      </c>
      <c r="L408" s="3">
        <v>-1</v>
      </c>
      <c r="M408" s="3">
        <v>103</v>
      </c>
    </row>
    <row r="409" spans="3:13" x14ac:dyDescent="0.2">
      <c r="C409">
        <v>1128</v>
      </c>
      <c r="D409">
        <v>39.008676999999999</v>
      </c>
      <c r="E409">
        <v>-77.11354</v>
      </c>
      <c r="F409">
        <v>355</v>
      </c>
      <c r="G409">
        <v>9.9381000000000004</v>
      </c>
      <c r="I409" t="s">
        <v>137</v>
      </c>
      <c r="J409">
        <v>116371</v>
      </c>
      <c r="K409">
        <v>116372</v>
      </c>
      <c r="L409" s="3">
        <v>-1</v>
      </c>
      <c r="M409" s="3">
        <v>103</v>
      </c>
    </row>
    <row r="410" spans="3:13" x14ac:dyDescent="0.2">
      <c r="C410">
        <v>1128</v>
      </c>
      <c r="D410">
        <v>39.010027999999998</v>
      </c>
      <c r="E410">
        <v>-77.114841999999996</v>
      </c>
      <c r="F410">
        <v>356</v>
      </c>
      <c r="G410">
        <v>10.055099999999999</v>
      </c>
      <c r="I410" t="s">
        <v>137</v>
      </c>
      <c r="J410">
        <v>116371</v>
      </c>
      <c r="K410">
        <v>231815</v>
      </c>
      <c r="L410" s="3">
        <v>-1</v>
      </c>
      <c r="M410" s="3">
        <v>103</v>
      </c>
    </row>
    <row r="411" spans="3:13" x14ac:dyDescent="0.2">
      <c r="C411">
        <v>1128</v>
      </c>
      <c r="D411">
        <v>39.010089000000001</v>
      </c>
      <c r="E411">
        <v>-77.114721000000003</v>
      </c>
      <c r="F411">
        <v>357</v>
      </c>
      <c r="G411">
        <v>10.0627</v>
      </c>
      <c r="I411" t="s">
        <v>137</v>
      </c>
      <c r="J411">
        <v>116372</v>
      </c>
      <c r="K411">
        <v>116371</v>
      </c>
      <c r="L411" s="3">
        <v>-1</v>
      </c>
      <c r="M411" s="3">
        <v>103</v>
      </c>
    </row>
    <row r="412" spans="3:13" x14ac:dyDescent="0.2">
      <c r="C412">
        <v>1128</v>
      </c>
      <c r="D412">
        <v>39.010137999999998</v>
      </c>
      <c r="E412">
        <v>-77.114766000000003</v>
      </c>
      <c r="F412">
        <v>358</v>
      </c>
      <c r="G412">
        <v>10.0669</v>
      </c>
      <c r="I412" t="s">
        <v>137</v>
      </c>
      <c r="J412">
        <v>116470</v>
      </c>
      <c r="K412">
        <v>756850</v>
      </c>
      <c r="L412" s="3">
        <v>-1</v>
      </c>
      <c r="M412" s="3">
        <v>103</v>
      </c>
    </row>
    <row r="413" spans="3:13" x14ac:dyDescent="0.2">
      <c r="C413">
        <v>1128</v>
      </c>
      <c r="D413">
        <v>39.010109999999997</v>
      </c>
      <c r="E413">
        <v>-77.114818999999997</v>
      </c>
      <c r="F413">
        <v>359</v>
      </c>
      <c r="G413">
        <v>10.0703</v>
      </c>
      <c r="I413" t="s">
        <v>137</v>
      </c>
      <c r="J413">
        <v>116472</v>
      </c>
      <c r="K413">
        <v>231808</v>
      </c>
      <c r="L413" s="3">
        <v>-1</v>
      </c>
      <c r="M413" s="3">
        <v>103</v>
      </c>
    </row>
    <row r="414" spans="3:13" x14ac:dyDescent="0.2">
      <c r="C414">
        <v>1128</v>
      </c>
      <c r="D414">
        <v>39.010787000000001</v>
      </c>
      <c r="E414">
        <v>-77.115333000000007</v>
      </c>
      <c r="F414">
        <v>360</v>
      </c>
      <c r="G414">
        <v>10.124599999999999</v>
      </c>
      <c r="I414" t="s">
        <v>137</v>
      </c>
      <c r="J414">
        <v>116472</v>
      </c>
      <c r="K414">
        <v>231809</v>
      </c>
      <c r="L414" s="3">
        <v>-1</v>
      </c>
      <c r="M414" s="3">
        <v>103</v>
      </c>
    </row>
    <row r="415" spans="3:13" x14ac:dyDescent="0.2">
      <c r="C415">
        <v>1128</v>
      </c>
      <c r="D415">
        <v>39.011918999999999</v>
      </c>
      <c r="E415">
        <v>-77.116270999999998</v>
      </c>
      <c r="F415">
        <v>361</v>
      </c>
      <c r="G415">
        <v>10.218</v>
      </c>
      <c r="I415" t="s">
        <v>137</v>
      </c>
      <c r="J415">
        <v>116472</v>
      </c>
      <c r="K415">
        <v>756850</v>
      </c>
      <c r="L415" s="3">
        <v>-1</v>
      </c>
      <c r="M415" s="3">
        <v>103</v>
      </c>
    </row>
    <row r="416" spans="3:13" x14ac:dyDescent="0.2">
      <c r="C416">
        <v>1128</v>
      </c>
      <c r="D416">
        <v>39.01247</v>
      </c>
      <c r="E416">
        <v>-77.116721999999996</v>
      </c>
      <c r="F416">
        <v>362</v>
      </c>
      <c r="G416">
        <v>10.263299999999999</v>
      </c>
      <c r="I416" t="s">
        <v>137</v>
      </c>
      <c r="J416">
        <v>118104</v>
      </c>
      <c r="K416">
        <v>121706</v>
      </c>
      <c r="L416" s="3">
        <v>-1</v>
      </c>
      <c r="M416" s="3">
        <v>103</v>
      </c>
    </row>
    <row r="417" spans="3:13" x14ac:dyDescent="0.2">
      <c r="C417">
        <v>1128</v>
      </c>
      <c r="D417">
        <v>39.013007000000002</v>
      </c>
      <c r="E417">
        <v>-77.117135000000005</v>
      </c>
      <c r="F417">
        <v>363</v>
      </c>
      <c r="G417">
        <v>10.3066</v>
      </c>
      <c r="I417" t="s">
        <v>137</v>
      </c>
      <c r="J417">
        <v>121706</v>
      </c>
      <c r="K417">
        <v>118103</v>
      </c>
      <c r="L417" s="3">
        <v>-1</v>
      </c>
      <c r="M417" s="3">
        <v>103</v>
      </c>
    </row>
    <row r="418" spans="3:13" x14ac:dyDescent="0.2">
      <c r="C418">
        <v>1128</v>
      </c>
      <c r="D418">
        <v>39.012974</v>
      </c>
      <c r="E418">
        <v>-77.117205999999996</v>
      </c>
      <c r="F418">
        <v>364</v>
      </c>
      <c r="G418">
        <v>10.311</v>
      </c>
      <c r="I418" t="s">
        <v>137</v>
      </c>
      <c r="J418">
        <v>121805</v>
      </c>
      <c r="K418">
        <v>108882</v>
      </c>
      <c r="L418" s="3">
        <v>-1</v>
      </c>
      <c r="M418" s="3">
        <v>103</v>
      </c>
    </row>
    <row r="419" spans="3:13" x14ac:dyDescent="0.2">
      <c r="C419">
        <v>1128</v>
      </c>
      <c r="D419">
        <v>39.013097000000002</v>
      </c>
      <c r="E419">
        <v>-77.117200999999994</v>
      </c>
      <c r="F419">
        <v>365</v>
      </c>
      <c r="G419">
        <v>10.3195</v>
      </c>
      <c r="I419" t="s">
        <v>137</v>
      </c>
      <c r="J419">
        <v>121805</v>
      </c>
      <c r="K419">
        <v>121806</v>
      </c>
      <c r="L419" s="3">
        <v>-1</v>
      </c>
      <c r="M419" s="3">
        <v>103</v>
      </c>
    </row>
    <row r="420" spans="3:13" x14ac:dyDescent="0.2">
      <c r="C420">
        <v>1128</v>
      </c>
      <c r="D420">
        <v>39.013665000000003</v>
      </c>
      <c r="E420">
        <v>-77.117655999999997</v>
      </c>
      <c r="F420">
        <v>366</v>
      </c>
      <c r="G420">
        <v>10.3657</v>
      </c>
      <c r="I420" t="s">
        <v>137</v>
      </c>
      <c r="J420">
        <v>121806</v>
      </c>
      <c r="K420">
        <v>108878</v>
      </c>
      <c r="L420" s="3">
        <v>-1</v>
      </c>
      <c r="M420" s="3">
        <v>103</v>
      </c>
    </row>
    <row r="421" spans="3:13" x14ac:dyDescent="0.2">
      <c r="C421">
        <v>1128</v>
      </c>
      <c r="D421">
        <v>39.013688999999999</v>
      </c>
      <c r="E421">
        <v>-77.117609999999999</v>
      </c>
      <c r="F421">
        <v>367</v>
      </c>
      <c r="G421">
        <v>10.368600000000001</v>
      </c>
      <c r="I421" t="s">
        <v>137</v>
      </c>
      <c r="J421">
        <v>121806</v>
      </c>
      <c r="K421">
        <v>121805</v>
      </c>
      <c r="L421" s="3">
        <v>-1</v>
      </c>
      <c r="M421" s="3">
        <v>103</v>
      </c>
    </row>
    <row r="422" spans="3:13" x14ac:dyDescent="0.2">
      <c r="C422">
        <v>1128</v>
      </c>
      <c r="D422">
        <v>39.014150000000001</v>
      </c>
      <c r="E422">
        <v>-77.118042000000003</v>
      </c>
      <c r="F422">
        <v>368</v>
      </c>
      <c r="G422">
        <v>10.407999999999999</v>
      </c>
      <c r="I422" t="s">
        <v>137</v>
      </c>
      <c r="J422">
        <v>230895</v>
      </c>
      <c r="K422">
        <v>114116</v>
      </c>
      <c r="L422" s="3">
        <v>-1</v>
      </c>
      <c r="M422" s="3">
        <v>103</v>
      </c>
    </row>
    <row r="423" spans="3:13" x14ac:dyDescent="0.2">
      <c r="C423">
        <v>1128</v>
      </c>
      <c r="D423">
        <v>39.014429</v>
      </c>
      <c r="E423">
        <v>-77.118260000000006</v>
      </c>
      <c r="F423">
        <v>369</v>
      </c>
      <c r="G423">
        <v>10.4305</v>
      </c>
      <c r="I423" t="s">
        <v>137</v>
      </c>
      <c r="J423">
        <v>231119</v>
      </c>
      <c r="K423">
        <v>103318</v>
      </c>
      <c r="L423" s="3">
        <v>-1</v>
      </c>
      <c r="M423" s="3">
        <v>103</v>
      </c>
    </row>
    <row r="424" spans="3:13" x14ac:dyDescent="0.2">
      <c r="C424">
        <v>1128</v>
      </c>
      <c r="D424">
        <v>39.014738999999999</v>
      </c>
      <c r="E424">
        <v>-77.118449999999996</v>
      </c>
      <c r="F424">
        <v>370</v>
      </c>
      <c r="G424">
        <v>10.4542</v>
      </c>
      <c r="I424" t="s">
        <v>137</v>
      </c>
      <c r="J424">
        <v>231119</v>
      </c>
      <c r="K424">
        <v>231121</v>
      </c>
      <c r="L424" s="3">
        <v>-1</v>
      </c>
      <c r="M424" s="3">
        <v>103</v>
      </c>
    </row>
    <row r="425" spans="3:13" x14ac:dyDescent="0.2">
      <c r="C425">
        <v>1128</v>
      </c>
      <c r="D425">
        <v>39.015006999999997</v>
      </c>
      <c r="E425">
        <v>-77.118630999999993</v>
      </c>
      <c r="F425">
        <v>371</v>
      </c>
      <c r="G425">
        <v>10.475</v>
      </c>
      <c r="I425" t="s">
        <v>137</v>
      </c>
      <c r="J425">
        <v>231121</v>
      </c>
      <c r="K425">
        <v>231119</v>
      </c>
      <c r="L425" s="3">
        <v>-1</v>
      </c>
      <c r="M425" s="3">
        <v>103</v>
      </c>
    </row>
    <row r="426" spans="3:13" x14ac:dyDescent="0.2">
      <c r="C426">
        <v>1128</v>
      </c>
      <c r="D426">
        <v>39.015180000000001</v>
      </c>
      <c r="E426">
        <v>-77.118730999999997</v>
      </c>
      <c r="F426">
        <v>372</v>
      </c>
      <c r="G426">
        <v>10.488099999999999</v>
      </c>
      <c r="I426" t="s">
        <v>137</v>
      </c>
      <c r="J426">
        <v>231808</v>
      </c>
      <c r="K426">
        <v>116472</v>
      </c>
      <c r="L426" s="3">
        <v>-1</v>
      </c>
      <c r="M426" s="3">
        <v>103</v>
      </c>
    </row>
    <row r="427" spans="3:13" x14ac:dyDescent="0.2">
      <c r="C427">
        <v>1128</v>
      </c>
      <c r="D427">
        <v>39.015638000000003</v>
      </c>
      <c r="E427">
        <v>-77.119021000000004</v>
      </c>
      <c r="F427">
        <v>373</v>
      </c>
      <c r="G427">
        <v>10.523300000000001</v>
      </c>
      <c r="I427" t="s">
        <v>137</v>
      </c>
      <c r="J427">
        <v>231809</v>
      </c>
      <c r="K427">
        <v>116472</v>
      </c>
      <c r="L427" s="3">
        <v>-1</v>
      </c>
      <c r="M427" s="3">
        <v>103</v>
      </c>
    </row>
    <row r="428" spans="3:13" x14ac:dyDescent="0.2">
      <c r="C428">
        <v>1128</v>
      </c>
      <c r="D428">
        <v>39.015777</v>
      </c>
      <c r="E428">
        <v>-77.119094000000004</v>
      </c>
      <c r="F428">
        <v>374</v>
      </c>
      <c r="G428">
        <v>10.5337</v>
      </c>
      <c r="I428" t="s">
        <v>137</v>
      </c>
      <c r="J428">
        <v>231809</v>
      </c>
      <c r="K428">
        <v>757343</v>
      </c>
      <c r="L428" s="3">
        <v>-1</v>
      </c>
      <c r="M428" s="3">
        <v>103</v>
      </c>
    </row>
    <row r="429" spans="3:13" x14ac:dyDescent="0.2">
      <c r="C429">
        <v>1128</v>
      </c>
      <c r="D429">
        <v>39.016539000000002</v>
      </c>
      <c r="E429">
        <v>-77.119532000000007</v>
      </c>
      <c r="F429">
        <v>375</v>
      </c>
      <c r="G429">
        <v>10.5915</v>
      </c>
      <c r="I429" t="s">
        <v>137</v>
      </c>
      <c r="J429">
        <v>231814</v>
      </c>
      <c r="K429">
        <v>757343</v>
      </c>
      <c r="L429" s="3">
        <v>-1</v>
      </c>
      <c r="M429" s="3">
        <v>103</v>
      </c>
    </row>
    <row r="430" spans="3:13" x14ac:dyDescent="0.2">
      <c r="C430">
        <v>1128</v>
      </c>
      <c r="D430">
        <v>39.016883999999997</v>
      </c>
      <c r="E430">
        <v>-77.119749999999996</v>
      </c>
      <c r="F430">
        <v>376</v>
      </c>
      <c r="G430">
        <v>10.618</v>
      </c>
      <c r="I430" t="s">
        <v>137</v>
      </c>
      <c r="J430">
        <v>231815</v>
      </c>
      <c r="K430">
        <v>116370</v>
      </c>
      <c r="L430" s="3">
        <v>-1</v>
      </c>
      <c r="M430" s="3">
        <v>103</v>
      </c>
    </row>
    <row r="431" spans="3:13" x14ac:dyDescent="0.2">
      <c r="C431">
        <v>1128</v>
      </c>
      <c r="D431">
        <v>39.016905999999999</v>
      </c>
      <c r="E431">
        <v>-77.119692999999998</v>
      </c>
      <c r="F431">
        <v>377</v>
      </c>
      <c r="G431">
        <v>10.6212</v>
      </c>
      <c r="I431" t="s">
        <v>137</v>
      </c>
      <c r="J431">
        <v>232173</v>
      </c>
      <c r="K431">
        <v>232174</v>
      </c>
      <c r="L431" s="3">
        <v>-1</v>
      </c>
      <c r="M431" s="3">
        <v>103</v>
      </c>
    </row>
    <row r="432" spans="3:13" x14ac:dyDescent="0.2">
      <c r="C432">
        <v>1128</v>
      </c>
      <c r="D432">
        <v>39.017037999999999</v>
      </c>
      <c r="E432">
        <v>-77.119843000000003</v>
      </c>
      <c r="F432">
        <v>378</v>
      </c>
      <c r="G432">
        <v>10.6333</v>
      </c>
      <c r="I432" t="s">
        <v>137</v>
      </c>
      <c r="J432">
        <v>232174</v>
      </c>
      <c r="K432">
        <v>757462</v>
      </c>
      <c r="L432" s="3">
        <v>-1</v>
      </c>
      <c r="M432" s="3">
        <v>103</v>
      </c>
    </row>
    <row r="433" spans="3:13" x14ac:dyDescent="0.2">
      <c r="C433">
        <v>1128</v>
      </c>
      <c r="D433">
        <v>39.017498000000003</v>
      </c>
      <c r="E433">
        <v>-77.120091000000002</v>
      </c>
      <c r="F433">
        <v>379</v>
      </c>
      <c r="G433">
        <v>10.6678</v>
      </c>
      <c r="I433" t="s">
        <v>137</v>
      </c>
      <c r="J433">
        <v>232178</v>
      </c>
      <c r="K433">
        <v>326395</v>
      </c>
      <c r="L433" s="3">
        <v>-1</v>
      </c>
      <c r="M433" s="3">
        <v>103</v>
      </c>
    </row>
    <row r="434" spans="3:13" x14ac:dyDescent="0.2">
      <c r="C434">
        <v>1128</v>
      </c>
      <c r="D434">
        <v>39.018138999999998</v>
      </c>
      <c r="E434">
        <v>-77.120450000000005</v>
      </c>
      <c r="F434">
        <v>380</v>
      </c>
      <c r="G434">
        <v>10.7163</v>
      </c>
      <c r="I434" t="s">
        <v>137</v>
      </c>
      <c r="J434">
        <v>232179</v>
      </c>
      <c r="K434">
        <v>326401</v>
      </c>
      <c r="L434" s="3">
        <v>-1</v>
      </c>
      <c r="M434" s="3">
        <v>103</v>
      </c>
    </row>
    <row r="435" spans="3:13" x14ac:dyDescent="0.2">
      <c r="C435">
        <v>1128</v>
      </c>
      <c r="D435">
        <v>39.018219000000002</v>
      </c>
      <c r="E435">
        <v>-77.120502000000002</v>
      </c>
      <c r="F435">
        <v>381</v>
      </c>
      <c r="G435">
        <v>10.722300000000001</v>
      </c>
      <c r="I435" t="s">
        <v>137</v>
      </c>
      <c r="J435">
        <v>232440</v>
      </c>
      <c r="K435">
        <v>114332</v>
      </c>
      <c r="L435" s="3">
        <v>-1</v>
      </c>
      <c r="M435" s="3">
        <v>103</v>
      </c>
    </row>
    <row r="436" spans="3:13" x14ac:dyDescent="0.2">
      <c r="C436">
        <v>1128</v>
      </c>
      <c r="D436">
        <v>39.018197000000001</v>
      </c>
      <c r="E436">
        <v>-77.120562000000007</v>
      </c>
      <c r="F436">
        <v>382</v>
      </c>
      <c r="G436">
        <v>10.7258</v>
      </c>
      <c r="I436" t="s">
        <v>137</v>
      </c>
      <c r="J436">
        <v>326383</v>
      </c>
      <c r="K436">
        <v>326388</v>
      </c>
      <c r="L436" s="3">
        <v>-1</v>
      </c>
      <c r="M436" s="3">
        <v>103</v>
      </c>
    </row>
    <row r="437" spans="3:13" x14ac:dyDescent="0.2">
      <c r="C437">
        <v>1128</v>
      </c>
      <c r="D437">
        <v>39.018608</v>
      </c>
      <c r="E437">
        <v>-77.120740999999995</v>
      </c>
      <c r="F437">
        <v>383</v>
      </c>
      <c r="G437">
        <v>10.755699999999999</v>
      </c>
      <c r="I437" t="s">
        <v>137</v>
      </c>
      <c r="J437">
        <v>326388</v>
      </c>
      <c r="K437">
        <v>326383</v>
      </c>
      <c r="L437" s="3">
        <v>-1</v>
      </c>
      <c r="M437" s="3">
        <v>103</v>
      </c>
    </row>
    <row r="438" spans="3:13" x14ac:dyDescent="0.2">
      <c r="C438">
        <v>1128</v>
      </c>
      <c r="D438">
        <v>39.019402999999997</v>
      </c>
      <c r="E438">
        <v>-77.121256000000002</v>
      </c>
      <c r="F438">
        <v>384</v>
      </c>
      <c r="G438">
        <v>10.817399999999999</v>
      </c>
      <c r="I438" t="s">
        <v>137</v>
      </c>
      <c r="J438">
        <v>326388</v>
      </c>
      <c r="K438">
        <v>326389</v>
      </c>
      <c r="L438" s="3">
        <v>-1</v>
      </c>
      <c r="M438" s="3">
        <v>103</v>
      </c>
    </row>
    <row r="439" spans="3:13" x14ac:dyDescent="0.2">
      <c r="C439">
        <v>1128</v>
      </c>
      <c r="D439">
        <v>39.019373000000002</v>
      </c>
      <c r="E439">
        <v>-77.121334000000004</v>
      </c>
      <c r="F439">
        <v>385</v>
      </c>
      <c r="G439">
        <v>10.821999999999999</v>
      </c>
      <c r="I439" t="s">
        <v>137</v>
      </c>
      <c r="J439">
        <v>326388</v>
      </c>
      <c r="K439">
        <v>326390</v>
      </c>
      <c r="L439" s="3">
        <v>-1</v>
      </c>
      <c r="M439" s="3">
        <v>103</v>
      </c>
    </row>
    <row r="440" spans="3:13" x14ac:dyDescent="0.2">
      <c r="C440">
        <v>1128</v>
      </c>
      <c r="D440">
        <v>39.019539999999999</v>
      </c>
      <c r="E440">
        <v>-77.121342999999996</v>
      </c>
      <c r="F440">
        <v>386</v>
      </c>
      <c r="G440">
        <v>10.833500000000001</v>
      </c>
      <c r="I440" t="s">
        <v>137</v>
      </c>
      <c r="J440">
        <v>326389</v>
      </c>
      <c r="K440">
        <v>326388</v>
      </c>
      <c r="L440" s="3">
        <v>-1</v>
      </c>
      <c r="M440" s="3">
        <v>103</v>
      </c>
    </row>
    <row r="441" spans="3:13" x14ac:dyDescent="0.2">
      <c r="C441">
        <v>1128</v>
      </c>
      <c r="D441">
        <v>39.020397000000003</v>
      </c>
      <c r="E441">
        <v>-77.121962999999994</v>
      </c>
      <c r="F441">
        <v>387</v>
      </c>
      <c r="G441">
        <v>10.9017</v>
      </c>
      <c r="I441" t="s">
        <v>137</v>
      </c>
      <c r="J441">
        <v>326389</v>
      </c>
      <c r="K441">
        <v>326390</v>
      </c>
      <c r="L441" s="3">
        <v>-1</v>
      </c>
      <c r="M441" s="3">
        <v>103</v>
      </c>
    </row>
    <row r="442" spans="3:13" x14ac:dyDescent="0.2">
      <c r="C442">
        <v>1128</v>
      </c>
      <c r="D442">
        <v>39.020547999999998</v>
      </c>
      <c r="E442">
        <v>-77.122067000000001</v>
      </c>
      <c r="F442">
        <v>388</v>
      </c>
      <c r="G442">
        <v>10.913399999999999</v>
      </c>
      <c r="I442" t="s">
        <v>137</v>
      </c>
      <c r="J442">
        <v>326390</v>
      </c>
      <c r="K442">
        <v>326388</v>
      </c>
      <c r="L442" s="3">
        <v>-1</v>
      </c>
      <c r="M442" s="3">
        <v>103</v>
      </c>
    </row>
    <row r="443" spans="3:13" x14ac:dyDescent="0.2">
      <c r="C443">
        <v>1128</v>
      </c>
      <c r="D443">
        <v>39.020572999999999</v>
      </c>
      <c r="E443">
        <v>-77.122011000000001</v>
      </c>
      <c r="F443">
        <v>389</v>
      </c>
      <c r="G443">
        <v>10.9169</v>
      </c>
      <c r="I443" t="s">
        <v>137</v>
      </c>
      <c r="J443">
        <v>326390</v>
      </c>
      <c r="K443">
        <v>326389</v>
      </c>
      <c r="L443" s="3">
        <v>-1</v>
      </c>
      <c r="M443" s="3">
        <v>103</v>
      </c>
    </row>
    <row r="444" spans="3:13" x14ac:dyDescent="0.2">
      <c r="C444">
        <v>1128</v>
      </c>
      <c r="D444">
        <v>39.020789000000001</v>
      </c>
      <c r="E444">
        <v>-77.122230000000002</v>
      </c>
      <c r="F444">
        <v>390</v>
      </c>
      <c r="G444">
        <v>10.936</v>
      </c>
      <c r="I444" t="s">
        <v>137</v>
      </c>
      <c r="J444">
        <v>326390</v>
      </c>
      <c r="K444">
        <v>326391</v>
      </c>
      <c r="L444" s="3">
        <v>-1</v>
      </c>
      <c r="M444" s="3">
        <v>103</v>
      </c>
    </row>
    <row r="445" spans="3:13" x14ac:dyDescent="0.2">
      <c r="C445">
        <v>1128</v>
      </c>
      <c r="D445">
        <v>39.021729000000001</v>
      </c>
      <c r="E445">
        <v>-77.122919999999993</v>
      </c>
      <c r="F445">
        <v>391</v>
      </c>
      <c r="G445">
        <v>11.010999999999999</v>
      </c>
      <c r="I445" t="s">
        <v>137</v>
      </c>
      <c r="J445">
        <v>326391</v>
      </c>
      <c r="K445">
        <v>326390</v>
      </c>
      <c r="L445" s="3">
        <v>-1</v>
      </c>
      <c r="M445" s="3">
        <v>103</v>
      </c>
    </row>
    <row r="446" spans="3:13" x14ac:dyDescent="0.2">
      <c r="C446">
        <v>1128</v>
      </c>
      <c r="D446">
        <v>39.022438999999999</v>
      </c>
      <c r="E446">
        <v>-77.123429999999999</v>
      </c>
      <c r="F446">
        <v>392</v>
      </c>
      <c r="G446">
        <v>11.0672</v>
      </c>
      <c r="I446" t="s">
        <v>137</v>
      </c>
      <c r="J446">
        <v>326391</v>
      </c>
      <c r="K446">
        <v>326392</v>
      </c>
      <c r="L446" s="3">
        <v>-1</v>
      </c>
      <c r="M446" s="3">
        <v>103</v>
      </c>
    </row>
    <row r="447" spans="3:13" x14ac:dyDescent="0.2">
      <c r="C447">
        <v>1128</v>
      </c>
      <c r="D447">
        <v>39.022413999999998</v>
      </c>
      <c r="E447">
        <v>-77.123475999999997</v>
      </c>
      <c r="F447">
        <v>393</v>
      </c>
      <c r="G447">
        <v>11.0701</v>
      </c>
      <c r="I447" t="s">
        <v>137</v>
      </c>
      <c r="J447">
        <v>326391</v>
      </c>
      <c r="K447">
        <v>326393</v>
      </c>
      <c r="L447" s="3">
        <v>-1</v>
      </c>
      <c r="M447" s="3">
        <v>103</v>
      </c>
    </row>
    <row r="448" spans="3:13" x14ac:dyDescent="0.2">
      <c r="C448">
        <v>1128</v>
      </c>
      <c r="D448">
        <v>39.022432999999999</v>
      </c>
      <c r="E448">
        <v>-77.123490000000004</v>
      </c>
      <c r="F448">
        <v>394</v>
      </c>
      <c r="G448">
        <v>11.0716</v>
      </c>
      <c r="I448" t="s">
        <v>137</v>
      </c>
      <c r="J448">
        <v>326391</v>
      </c>
      <c r="K448">
        <v>327492</v>
      </c>
      <c r="L448" s="3">
        <v>-1</v>
      </c>
      <c r="M448" s="3">
        <v>103</v>
      </c>
    </row>
    <row r="449" spans="3:13" x14ac:dyDescent="0.2">
      <c r="C449">
        <v>1128</v>
      </c>
      <c r="D449">
        <v>39.022438999999999</v>
      </c>
      <c r="E449">
        <v>-77.123429999999999</v>
      </c>
      <c r="F449">
        <v>395</v>
      </c>
      <c r="G449">
        <v>11.0748</v>
      </c>
      <c r="I449" t="s">
        <v>137</v>
      </c>
      <c r="J449">
        <v>326392</v>
      </c>
      <c r="K449">
        <v>326391</v>
      </c>
      <c r="L449" s="3">
        <v>-1</v>
      </c>
      <c r="M449" s="3">
        <v>103</v>
      </c>
    </row>
    <row r="450" spans="3:13" x14ac:dyDescent="0.2">
      <c r="C450">
        <v>1128</v>
      </c>
      <c r="D450">
        <v>39.023468999999999</v>
      </c>
      <c r="E450">
        <v>-77.124172000000002</v>
      </c>
      <c r="F450">
        <v>396</v>
      </c>
      <c r="G450">
        <v>11.156599999999999</v>
      </c>
      <c r="I450" t="s">
        <v>137</v>
      </c>
      <c r="J450">
        <v>326392</v>
      </c>
      <c r="K450">
        <v>326393</v>
      </c>
      <c r="L450" s="3">
        <v>-1</v>
      </c>
      <c r="M450" s="3">
        <v>103</v>
      </c>
    </row>
    <row r="451" spans="3:13" x14ac:dyDescent="0.2">
      <c r="C451">
        <v>1128</v>
      </c>
      <c r="D451">
        <v>39.024078000000003</v>
      </c>
      <c r="E451">
        <v>-77.124612999999997</v>
      </c>
      <c r="F451">
        <v>397</v>
      </c>
      <c r="G451">
        <v>11.2049</v>
      </c>
      <c r="I451" t="s">
        <v>137</v>
      </c>
      <c r="J451">
        <v>326392</v>
      </c>
      <c r="K451">
        <v>327492</v>
      </c>
      <c r="L451" s="3">
        <v>-1</v>
      </c>
      <c r="M451" s="3">
        <v>103</v>
      </c>
    </row>
    <row r="452" spans="3:13" x14ac:dyDescent="0.2">
      <c r="C452">
        <v>1128</v>
      </c>
      <c r="D452">
        <v>39.024797999999997</v>
      </c>
      <c r="E452">
        <v>-77.125133000000005</v>
      </c>
      <c r="F452">
        <v>398</v>
      </c>
      <c r="G452">
        <v>11.2621</v>
      </c>
      <c r="I452" t="s">
        <v>137</v>
      </c>
      <c r="J452">
        <v>326393</v>
      </c>
      <c r="K452">
        <v>326391</v>
      </c>
      <c r="L452" s="3">
        <v>-1</v>
      </c>
      <c r="M452" s="3">
        <v>103</v>
      </c>
    </row>
    <row r="453" spans="3:13" x14ac:dyDescent="0.2">
      <c r="C453">
        <v>1128</v>
      </c>
      <c r="D453">
        <v>39.024929999999998</v>
      </c>
      <c r="E453">
        <v>-77.125232999999994</v>
      </c>
      <c r="F453">
        <v>399</v>
      </c>
      <c r="G453">
        <v>11.2727</v>
      </c>
      <c r="I453" t="s">
        <v>137</v>
      </c>
      <c r="J453">
        <v>326393</v>
      </c>
      <c r="K453">
        <v>326395</v>
      </c>
      <c r="L453" s="3">
        <v>-1</v>
      </c>
      <c r="M453" s="3">
        <v>103</v>
      </c>
    </row>
    <row r="454" spans="3:13" x14ac:dyDescent="0.2">
      <c r="C454">
        <v>1128</v>
      </c>
      <c r="D454">
        <v>39.024904999999997</v>
      </c>
      <c r="E454">
        <v>-77.125317999999993</v>
      </c>
      <c r="F454">
        <v>400</v>
      </c>
      <c r="G454">
        <v>11.2775</v>
      </c>
      <c r="I454" t="s">
        <v>137</v>
      </c>
      <c r="J454">
        <v>326395</v>
      </c>
      <c r="K454">
        <v>232178</v>
      </c>
      <c r="L454" s="3">
        <v>-1</v>
      </c>
      <c r="M454" s="3">
        <v>103</v>
      </c>
    </row>
    <row r="455" spans="3:13" x14ac:dyDescent="0.2">
      <c r="C455">
        <v>1128</v>
      </c>
      <c r="D455">
        <v>39.024839</v>
      </c>
      <c r="E455">
        <v>-77.125287</v>
      </c>
      <c r="F455">
        <v>401</v>
      </c>
      <c r="G455">
        <v>11.2822</v>
      </c>
      <c r="I455" t="s">
        <v>137</v>
      </c>
      <c r="J455">
        <v>326395</v>
      </c>
      <c r="K455">
        <v>326393</v>
      </c>
      <c r="L455" s="3">
        <v>-1</v>
      </c>
      <c r="M455" s="3">
        <v>103</v>
      </c>
    </row>
    <row r="456" spans="3:13" x14ac:dyDescent="0.2">
      <c r="C456">
        <v>1128</v>
      </c>
      <c r="D456">
        <v>39.024878000000001</v>
      </c>
      <c r="E456">
        <v>-77.125421000000003</v>
      </c>
      <c r="F456">
        <v>402</v>
      </c>
      <c r="G456">
        <v>11.2898</v>
      </c>
      <c r="I456" t="s">
        <v>137</v>
      </c>
      <c r="J456">
        <v>326395</v>
      </c>
      <c r="K456">
        <v>326401</v>
      </c>
      <c r="L456" s="3">
        <v>-1</v>
      </c>
      <c r="M456" s="3">
        <v>103</v>
      </c>
    </row>
    <row r="457" spans="3:13" x14ac:dyDescent="0.2">
      <c r="C457">
        <v>1128</v>
      </c>
      <c r="D457">
        <v>39.024842</v>
      </c>
      <c r="E457">
        <v>-77.125397000000007</v>
      </c>
      <c r="F457">
        <v>403</v>
      </c>
      <c r="G457">
        <v>11.292400000000001</v>
      </c>
      <c r="I457" t="s">
        <v>137</v>
      </c>
      <c r="J457">
        <v>326401</v>
      </c>
      <c r="K457">
        <v>232179</v>
      </c>
      <c r="L457" s="3">
        <v>-1</v>
      </c>
      <c r="M457" s="3">
        <v>103</v>
      </c>
    </row>
    <row r="458" spans="3:13" x14ac:dyDescent="0.2">
      <c r="C458">
        <v>1128</v>
      </c>
      <c r="D458">
        <v>39.024878000000001</v>
      </c>
      <c r="E458">
        <v>-77.125421000000003</v>
      </c>
      <c r="F458">
        <v>404</v>
      </c>
      <c r="G458">
        <v>11.2951</v>
      </c>
      <c r="I458" t="s">
        <v>137</v>
      </c>
      <c r="J458">
        <v>326401</v>
      </c>
      <c r="K458">
        <v>326395</v>
      </c>
      <c r="L458" s="3">
        <v>-1</v>
      </c>
      <c r="M458" s="3">
        <v>103</v>
      </c>
    </row>
    <row r="459" spans="3:13" x14ac:dyDescent="0.2">
      <c r="C459">
        <v>1128</v>
      </c>
      <c r="D459">
        <v>39.024549</v>
      </c>
      <c r="E459">
        <v>-77.126302999999993</v>
      </c>
      <c r="F459">
        <v>405</v>
      </c>
      <c r="G459">
        <v>11.347300000000001</v>
      </c>
      <c r="I459" t="s">
        <v>137</v>
      </c>
      <c r="J459">
        <v>327492</v>
      </c>
      <c r="K459">
        <v>326391</v>
      </c>
      <c r="L459" s="3">
        <v>-1</v>
      </c>
      <c r="M459" s="3">
        <v>103</v>
      </c>
    </row>
    <row r="460" spans="3:13" x14ac:dyDescent="0.2">
      <c r="C460">
        <v>1128</v>
      </c>
      <c r="D460">
        <v>39.024217</v>
      </c>
      <c r="E460">
        <v>-77.127221000000006</v>
      </c>
      <c r="F460">
        <v>406</v>
      </c>
      <c r="G460">
        <v>11.401300000000001</v>
      </c>
      <c r="I460" t="s">
        <v>137</v>
      </c>
      <c r="J460">
        <v>327492</v>
      </c>
      <c r="K460">
        <v>326392</v>
      </c>
      <c r="L460" s="3">
        <v>-1</v>
      </c>
      <c r="M460" s="3">
        <v>103</v>
      </c>
    </row>
    <row r="461" spans="3:13" x14ac:dyDescent="0.2">
      <c r="C461">
        <v>1128</v>
      </c>
      <c r="D461">
        <v>39.023997999999999</v>
      </c>
      <c r="E461">
        <v>-77.127830000000003</v>
      </c>
      <c r="F461">
        <v>407</v>
      </c>
      <c r="G461">
        <v>11.437099999999999</v>
      </c>
      <c r="I461" t="s">
        <v>137</v>
      </c>
      <c r="J461">
        <v>327504</v>
      </c>
      <c r="K461">
        <v>327505</v>
      </c>
      <c r="L461" s="3">
        <v>-1</v>
      </c>
      <c r="M461" s="3">
        <v>103</v>
      </c>
    </row>
    <row r="462" spans="3:13" x14ac:dyDescent="0.2">
      <c r="C462">
        <v>1128</v>
      </c>
      <c r="D462">
        <v>39.023814999999999</v>
      </c>
      <c r="E462">
        <v>-77.128371999999999</v>
      </c>
      <c r="F462">
        <v>408</v>
      </c>
      <c r="G462">
        <v>11.4688</v>
      </c>
      <c r="I462" t="s">
        <v>137</v>
      </c>
      <c r="J462">
        <v>327504</v>
      </c>
      <c r="K462">
        <v>757461</v>
      </c>
      <c r="L462" s="3">
        <v>-1</v>
      </c>
      <c r="M462" s="3">
        <v>103</v>
      </c>
    </row>
    <row r="463" spans="3:13" x14ac:dyDescent="0.2">
      <c r="C463">
        <v>1128</v>
      </c>
      <c r="D463">
        <v>39.023795</v>
      </c>
      <c r="E463">
        <v>-77.128358000000006</v>
      </c>
      <c r="F463">
        <v>409</v>
      </c>
      <c r="G463">
        <v>11.4703</v>
      </c>
      <c r="I463" t="s">
        <v>137</v>
      </c>
      <c r="J463">
        <v>327505</v>
      </c>
      <c r="K463">
        <v>232173</v>
      </c>
      <c r="L463" s="3">
        <v>-1</v>
      </c>
      <c r="M463" s="3">
        <v>103</v>
      </c>
    </row>
    <row r="464" spans="3:13" x14ac:dyDescent="0.2">
      <c r="C464">
        <v>1128</v>
      </c>
      <c r="D464">
        <v>39.023760000000003</v>
      </c>
      <c r="E464">
        <v>-77.128532000000007</v>
      </c>
      <c r="F464">
        <v>410</v>
      </c>
      <c r="G464">
        <v>11.479699999999999</v>
      </c>
      <c r="I464" t="s">
        <v>137</v>
      </c>
      <c r="J464">
        <v>327505</v>
      </c>
      <c r="K464">
        <v>327504</v>
      </c>
      <c r="L464" s="3">
        <v>-1</v>
      </c>
      <c r="M464" s="3">
        <v>103</v>
      </c>
    </row>
    <row r="465" spans="3:13" x14ac:dyDescent="0.2">
      <c r="C465">
        <v>1128</v>
      </c>
      <c r="D465">
        <v>39.023617000000002</v>
      </c>
      <c r="E465">
        <v>-77.129013</v>
      </c>
      <c r="F465">
        <v>411</v>
      </c>
      <c r="G465">
        <v>11.507199999999999</v>
      </c>
      <c r="I465" t="s">
        <v>137</v>
      </c>
      <c r="J465">
        <v>327513</v>
      </c>
      <c r="K465">
        <v>113044</v>
      </c>
      <c r="L465" s="3">
        <v>-1</v>
      </c>
      <c r="M465" s="3">
        <v>103</v>
      </c>
    </row>
    <row r="466" spans="3:13" x14ac:dyDescent="0.2">
      <c r="C466">
        <v>1128</v>
      </c>
      <c r="D466">
        <v>39.023477999999997</v>
      </c>
      <c r="E466">
        <v>-77.129599999999996</v>
      </c>
      <c r="F466">
        <v>412</v>
      </c>
      <c r="G466">
        <v>11.54</v>
      </c>
      <c r="I466" t="s">
        <v>137</v>
      </c>
      <c r="J466">
        <v>327516</v>
      </c>
      <c r="K466">
        <v>113045</v>
      </c>
      <c r="L466" s="3">
        <v>-1</v>
      </c>
      <c r="M466" s="3">
        <v>103</v>
      </c>
    </row>
    <row r="467" spans="3:13" x14ac:dyDescent="0.2">
      <c r="C467">
        <v>1128</v>
      </c>
      <c r="D467">
        <v>39.023277</v>
      </c>
      <c r="E467">
        <v>-77.130661000000003</v>
      </c>
      <c r="F467">
        <v>413</v>
      </c>
      <c r="G467">
        <v>11.5983</v>
      </c>
      <c r="I467" t="s">
        <v>137</v>
      </c>
      <c r="J467">
        <v>327532</v>
      </c>
      <c r="K467">
        <v>103318</v>
      </c>
      <c r="L467" s="3">
        <v>-1</v>
      </c>
      <c r="M467" s="3">
        <v>103</v>
      </c>
    </row>
    <row r="468" spans="3:13" x14ac:dyDescent="0.2">
      <c r="C468">
        <v>1128</v>
      </c>
      <c r="D468">
        <v>39.023159999999997</v>
      </c>
      <c r="E468">
        <v>-77.130432999999996</v>
      </c>
      <c r="F468">
        <v>414</v>
      </c>
      <c r="G468">
        <v>11.6129</v>
      </c>
      <c r="I468" t="s">
        <v>137</v>
      </c>
      <c r="J468">
        <v>327532</v>
      </c>
      <c r="K468">
        <v>103323</v>
      </c>
      <c r="L468" s="3">
        <v>-1</v>
      </c>
      <c r="M468" s="3">
        <v>103</v>
      </c>
    </row>
    <row r="469" spans="3:13" x14ac:dyDescent="0.2">
      <c r="C469">
        <v>1128</v>
      </c>
      <c r="D469">
        <v>39.02319</v>
      </c>
      <c r="E469">
        <v>-77.130280999999997</v>
      </c>
      <c r="F469">
        <v>415</v>
      </c>
      <c r="G469">
        <v>11.6212</v>
      </c>
      <c r="I469" t="s">
        <v>137</v>
      </c>
      <c r="J469">
        <v>327532</v>
      </c>
      <c r="K469">
        <v>327533</v>
      </c>
      <c r="L469" s="3">
        <v>-1</v>
      </c>
      <c r="M469" s="3">
        <v>103</v>
      </c>
    </row>
    <row r="470" spans="3:13" x14ac:dyDescent="0.2">
      <c r="C470">
        <v>1128</v>
      </c>
      <c r="D470">
        <v>39.023164999999999</v>
      </c>
      <c r="E470">
        <v>-77.130270999999993</v>
      </c>
      <c r="F470">
        <v>416</v>
      </c>
      <c r="G470">
        <v>11.6229</v>
      </c>
      <c r="I470" t="s">
        <v>137</v>
      </c>
      <c r="J470">
        <v>327533</v>
      </c>
      <c r="K470">
        <v>327532</v>
      </c>
      <c r="L470" s="3">
        <v>-1</v>
      </c>
      <c r="M470" s="3">
        <v>103</v>
      </c>
    </row>
    <row r="471" spans="3:13" x14ac:dyDescent="0.2">
      <c r="C471">
        <v>1128</v>
      </c>
      <c r="D471">
        <v>39.023159999999997</v>
      </c>
      <c r="E471">
        <v>-77.130432999999996</v>
      </c>
      <c r="F471">
        <v>417</v>
      </c>
      <c r="G471">
        <v>11.631600000000001</v>
      </c>
      <c r="I471" t="s">
        <v>137</v>
      </c>
      <c r="J471">
        <v>327533</v>
      </c>
      <c r="K471">
        <v>327534</v>
      </c>
      <c r="L471" s="3">
        <v>-1</v>
      </c>
      <c r="M471" s="3">
        <v>103</v>
      </c>
    </row>
    <row r="472" spans="3:13" x14ac:dyDescent="0.2">
      <c r="C472">
        <v>1128</v>
      </c>
      <c r="D472">
        <v>39.023277</v>
      </c>
      <c r="E472">
        <v>-77.130661000000003</v>
      </c>
      <c r="F472">
        <v>418</v>
      </c>
      <c r="G472">
        <v>11.6462</v>
      </c>
      <c r="I472" t="s">
        <v>137</v>
      </c>
      <c r="J472">
        <v>327534</v>
      </c>
      <c r="K472">
        <v>106323</v>
      </c>
      <c r="L472" s="3">
        <v>-1</v>
      </c>
      <c r="M472" s="3">
        <v>103</v>
      </c>
    </row>
    <row r="473" spans="3:13" x14ac:dyDescent="0.2">
      <c r="C473">
        <v>1128</v>
      </c>
      <c r="D473">
        <v>39.023108000000001</v>
      </c>
      <c r="E473">
        <v>-77.131471000000005</v>
      </c>
      <c r="F473">
        <v>419</v>
      </c>
      <c r="G473">
        <v>11.6911</v>
      </c>
      <c r="I473" t="s">
        <v>137</v>
      </c>
      <c r="J473">
        <v>327534</v>
      </c>
      <c r="K473">
        <v>106324</v>
      </c>
      <c r="L473" s="3">
        <v>-1</v>
      </c>
      <c r="M473" s="3">
        <v>103</v>
      </c>
    </row>
    <row r="474" spans="3:13" x14ac:dyDescent="0.2">
      <c r="C474">
        <v>1128</v>
      </c>
      <c r="D474">
        <v>39.023027999999996</v>
      </c>
      <c r="E474">
        <v>-77.131901999999997</v>
      </c>
      <c r="F474">
        <v>420</v>
      </c>
      <c r="G474">
        <v>11.7148</v>
      </c>
      <c r="I474" t="s">
        <v>137</v>
      </c>
      <c r="J474">
        <v>327534</v>
      </c>
      <c r="K474">
        <v>327533</v>
      </c>
      <c r="L474" s="3">
        <v>-1</v>
      </c>
      <c r="M474" s="3">
        <v>103</v>
      </c>
    </row>
    <row r="475" spans="3:13" x14ac:dyDescent="0.2">
      <c r="C475">
        <v>1128</v>
      </c>
      <c r="D475">
        <v>39.022959999999998</v>
      </c>
      <c r="E475">
        <v>-77.132231000000004</v>
      </c>
      <c r="F475">
        <v>421</v>
      </c>
      <c r="G475">
        <v>11.733000000000001</v>
      </c>
      <c r="I475" t="s">
        <v>137</v>
      </c>
      <c r="J475">
        <v>754849</v>
      </c>
      <c r="K475">
        <v>106307</v>
      </c>
      <c r="L475" s="3">
        <v>-1</v>
      </c>
      <c r="M475" s="3">
        <v>103</v>
      </c>
    </row>
    <row r="476" spans="3:13" x14ac:dyDescent="0.2">
      <c r="C476">
        <v>1128</v>
      </c>
      <c r="D476">
        <v>39.022938000000003</v>
      </c>
      <c r="E476">
        <v>-77.132351</v>
      </c>
      <c r="F476">
        <v>422</v>
      </c>
      <c r="G476">
        <v>11.7394</v>
      </c>
      <c r="I476" t="s">
        <v>137</v>
      </c>
      <c r="J476">
        <v>754849</v>
      </c>
      <c r="K476">
        <v>754850</v>
      </c>
      <c r="L476" s="3">
        <v>-1</v>
      </c>
      <c r="M476" s="3">
        <v>103</v>
      </c>
    </row>
    <row r="477" spans="3:13" x14ac:dyDescent="0.2">
      <c r="C477">
        <v>1128</v>
      </c>
      <c r="D477">
        <v>39.022838999999998</v>
      </c>
      <c r="E477">
        <v>-77.132733000000002</v>
      </c>
      <c r="F477">
        <v>423</v>
      </c>
      <c r="G477">
        <v>11.7608</v>
      </c>
      <c r="I477" t="s">
        <v>137</v>
      </c>
      <c r="J477">
        <v>754850</v>
      </c>
      <c r="K477">
        <v>106302</v>
      </c>
      <c r="L477" s="3">
        <v>-1</v>
      </c>
      <c r="M477" s="3">
        <v>103</v>
      </c>
    </row>
    <row r="478" spans="3:13" x14ac:dyDescent="0.2">
      <c r="C478">
        <v>1128</v>
      </c>
      <c r="D478">
        <v>39.022688000000002</v>
      </c>
      <c r="E478">
        <v>-77.133211000000003</v>
      </c>
      <c r="F478">
        <v>424</v>
      </c>
      <c r="G478">
        <v>11.7883</v>
      </c>
      <c r="I478" t="s">
        <v>137</v>
      </c>
      <c r="J478">
        <v>754850</v>
      </c>
      <c r="K478">
        <v>754849</v>
      </c>
      <c r="L478" s="3">
        <v>-1</v>
      </c>
      <c r="M478" s="3">
        <v>103</v>
      </c>
    </row>
    <row r="479" spans="3:13" x14ac:dyDescent="0.2">
      <c r="C479">
        <v>1128</v>
      </c>
      <c r="D479">
        <v>39.022277000000003</v>
      </c>
      <c r="E479">
        <v>-77.134379999999993</v>
      </c>
      <c r="F479">
        <v>425</v>
      </c>
      <c r="G479">
        <v>11.8568</v>
      </c>
      <c r="I479" t="s">
        <v>137</v>
      </c>
      <c r="J479">
        <v>755248</v>
      </c>
      <c r="K479">
        <v>113795</v>
      </c>
      <c r="L479" s="3">
        <v>-1</v>
      </c>
      <c r="M479" s="3">
        <v>103</v>
      </c>
    </row>
    <row r="480" spans="3:13" x14ac:dyDescent="0.2">
      <c r="C480">
        <v>1128</v>
      </c>
      <c r="D480">
        <v>39.022117999999999</v>
      </c>
      <c r="E480">
        <v>-77.134883000000002</v>
      </c>
      <c r="F480">
        <v>426</v>
      </c>
      <c r="G480">
        <v>11.8858</v>
      </c>
      <c r="I480" t="s">
        <v>137</v>
      </c>
      <c r="J480">
        <v>755248</v>
      </c>
      <c r="K480">
        <v>755249</v>
      </c>
      <c r="L480" s="3">
        <v>-1</v>
      </c>
      <c r="M480" s="3">
        <v>103</v>
      </c>
    </row>
    <row r="481" spans="3:13" x14ac:dyDescent="0.2">
      <c r="C481">
        <v>1128</v>
      </c>
      <c r="D481">
        <v>39.022094000000003</v>
      </c>
      <c r="E481">
        <v>-77.134951000000001</v>
      </c>
      <c r="F481">
        <v>427</v>
      </c>
      <c r="G481">
        <v>11.889799999999999</v>
      </c>
      <c r="I481" t="s">
        <v>137</v>
      </c>
      <c r="J481">
        <v>755249</v>
      </c>
      <c r="K481">
        <v>114257</v>
      </c>
      <c r="L481" s="3">
        <v>-1</v>
      </c>
      <c r="M481" s="3">
        <v>103</v>
      </c>
    </row>
    <row r="482" spans="3:13" x14ac:dyDescent="0.2">
      <c r="C482">
        <v>1128</v>
      </c>
      <c r="D482">
        <v>39.022117999999999</v>
      </c>
      <c r="E482">
        <v>-77.134883000000002</v>
      </c>
      <c r="F482">
        <v>428</v>
      </c>
      <c r="G482">
        <v>11.893800000000001</v>
      </c>
      <c r="I482" t="s">
        <v>137</v>
      </c>
      <c r="J482">
        <v>755249</v>
      </c>
      <c r="K482">
        <v>755248</v>
      </c>
      <c r="L482" s="3">
        <v>-1</v>
      </c>
      <c r="M482" s="3">
        <v>103</v>
      </c>
    </row>
    <row r="483" spans="3:13" x14ac:dyDescent="0.2">
      <c r="C483">
        <v>1128</v>
      </c>
      <c r="D483">
        <v>39.022609000000003</v>
      </c>
      <c r="E483">
        <v>-77.135031999999995</v>
      </c>
      <c r="F483">
        <v>429</v>
      </c>
      <c r="G483">
        <v>11.928599999999999</v>
      </c>
      <c r="I483" t="s">
        <v>137</v>
      </c>
      <c r="J483">
        <v>755250</v>
      </c>
      <c r="K483">
        <v>114268</v>
      </c>
      <c r="L483" s="3">
        <v>-1</v>
      </c>
      <c r="M483" s="3">
        <v>103</v>
      </c>
    </row>
    <row r="484" spans="3:13" x14ac:dyDescent="0.2">
      <c r="C484">
        <v>1128</v>
      </c>
      <c r="D484">
        <v>39.023257999999998</v>
      </c>
      <c r="E484">
        <v>-77.135221999999999</v>
      </c>
      <c r="F484">
        <v>430</v>
      </c>
      <c r="G484">
        <v>11.974600000000001</v>
      </c>
      <c r="I484" t="s">
        <v>137</v>
      </c>
      <c r="J484">
        <v>755548</v>
      </c>
      <c r="K484">
        <v>108891</v>
      </c>
      <c r="L484" s="3">
        <v>-1</v>
      </c>
      <c r="M484" s="3">
        <v>103</v>
      </c>
    </row>
    <row r="485" spans="3:13" x14ac:dyDescent="0.2">
      <c r="C485">
        <v>1128</v>
      </c>
      <c r="D485">
        <v>39.023589999999999</v>
      </c>
      <c r="E485">
        <v>-77.135340999999997</v>
      </c>
      <c r="F485">
        <v>431</v>
      </c>
      <c r="G485">
        <v>11.9983</v>
      </c>
      <c r="I485" t="s">
        <v>137</v>
      </c>
      <c r="J485">
        <v>755549</v>
      </c>
      <c r="K485">
        <v>108884</v>
      </c>
      <c r="L485" s="3">
        <v>-1</v>
      </c>
      <c r="M485" s="3">
        <v>103</v>
      </c>
    </row>
    <row r="486" spans="3:13" x14ac:dyDescent="0.2">
      <c r="C486">
        <v>1128</v>
      </c>
      <c r="D486">
        <v>39.023949000000002</v>
      </c>
      <c r="E486">
        <v>-77.135506000000007</v>
      </c>
      <c r="F486">
        <v>432</v>
      </c>
      <c r="G486">
        <v>12.0246</v>
      </c>
      <c r="I486" t="s">
        <v>137</v>
      </c>
      <c r="J486">
        <v>755550</v>
      </c>
      <c r="K486">
        <v>108878</v>
      </c>
      <c r="L486" s="3">
        <v>-1</v>
      </c>
      <c r="M486" s="3">
        <v>103</v>
      </c>
    </row>
    <row r="487" spans="3:13" x14ac:dyDescent="0.2">
      <c r="C487">
        <v>1128</v>
      </c>
      <c r="D487">
        <v>39.02413</v>
      </c>
      <c r="E487">
        <v>-77.135613000000006</v>
      </c>
      <c r="F487">
        <v>433</v>
      </c>
      <c r="G487">
        <v>12.0383</v>
      </c>
      <c r="I487" t="s">
        <v>137</v>
      </c>
      <c r="J487">
        <v>755997</v>
      </c>
      <c r="K487">
        <v>113046</v>
      </c>
      <c r="L487" s="3">
        <v>-1</v>
      </c>
      <c r="M487" s="3">
        <v>103</v>
      </c>
    </row>
    <row r="488" spans="3:13" x14ac:dyDescent="0.2">
      <c r="C488">
        <v>1128</v>
      </c>
      <c r="D488">
        <v>39.024338</v>
      </c>
      <c r="E488">
        <v>-77.135740999999996</v>
      </c>
      <c r="F488">
        <v>434</v>
      </c>
      <c r="G488">
        <v>12.0542</v>
      </c>
      <c r="I488" t="s">
        <v>137</v>
      </c>
      <c r="J488">
        <v>756007</v>
      </c>
      <c r="K488">
        <v>109112</v>
      </c>
      <c r="L488" s="3">
        <v>-1</v>
      </c>
      <c r="M488" s="3">
        <v>103</v>
      </c>
    </row>
    <row r="489" spans="3:13" x14ac:dyDescent="0.2">
      <c r="C489">
        <v>1128</v>
      </c>
      <c r="D489">
        <v>39.024700000000003</v>
      </c>
      <c r="E489">
        <v>-77.136050999999995</v>
      </c>
      <c r="F489">
        <v>435</v>
      </c>
      <c r="G489">
        <v>12.084300000000001</v>
      </c>
      <c r="I489" t="s">
        <v>137</v>
      </c>
      <c r="J489">
        <v>756011</v>
      </c>
      <c r="K489">
        <v>103845</v>
      </c>
      <c r="L489" s="3">
        <v>-1</v>
      </c>
      <c r="M489" s="3">
        <v>103</v>
      </c>
    </row>
    <row r="490" spans="3:13" x14ac:dyDescent="0.2">
      <c r="C490">
        <v>1128</v>
      </c>
      <c r="D490">
        <v>39.025337999999998</v>
      </c>
      <c r="E490">
        <v>-77.136719999999997</v>
      </c>
      <c r="F490">
        <v>436</v>
      </c>
      <c r="G490">
        <v>12.141299999999999</v>
      </c>
      <c r="I490" t="s">
        <v>137</v>
      </c>
      <c r="J490">
        <v>756011</v>
      </c>
      <c r="K490">
        <v>103847</v>
      </c>
      <c r="L490" s="3">
        <v>-1</v>
      </c>
      <c r="M490" s="3">
        <v>103</v>
      </c>
    </row>
    <row r="491" spans="3:13" x14ac:dyDescent="0.2">
      <c r="C491">
        <v>1128</v>
      </c>
      <c r="D491">
        <v>39.025409000000003</v>
      </c>
      <c r="E491">
        <v>-77.136810999999994</v>
      </c>
      <c r="F491">
        <v>437</v>
      </c>
      <c r="G491">
        <v>12.148099999999999</v>
      </c>
      <c r="I491" t="s">
        <v>137</v>
      </c>
      <c r="J491">
        <v>756038</v>
      </c>
      <c r="K491">
        <v>103865</v>
      </c>
      <c r="L491" s="3">
        <v>-1</v>
      </c>
      <c r="M491" s="3">
        <v>103</v>
      </c>
    </row>
    <row r="492" spans="3:13" x14ac:dyDescent="0.2">
      <c r="C492">
        <v>1128</v>
      </c>
      <c r="D492">
        <v>39.025430999999998</v>
      </c>
      <c r="E492">
        <v>-77.136849999999995</v>
      </c>
      <c r="F492">
        <v>438</v>
      </c>
      <c r="G492">
        <v>12.150600000000001</v>
      </c>
      <c r="I492" t="s">
        <v>137</v>
      </c>
      <c r="J492">
        <v>756038</v>
      </c>
      <c r="K492">
        <v>103874</v>
      </c>
      <c r="L492" s="3">
        <v>-1</v>
      </c>
      <c r="M492" s="3">
        <v>103</v>
      </c>
    </row>
    <row r="493" spans="3:13" x14ac:dyDescent="0.2">
      <c r="C493">
        <v>1128</v>
      </c>
      <c r="D493">
        <v>39.025388</v>
      </c>
      <c r="E493">
        <v>-77.136893000000001</v>
      </c>
      <c r="F493">
        <v>439</v>
      </c>
      <c r="G493">
        <v>12.154400000000001</v>
      </c>
      <c r="I493" t="s">
        <v>137</v>
      </c>
      <c r="J493">
        <v>756039</v>
      </c>
      <c r="K493">
        <v>103829</v>
      </c>
      <c r="L493" s="3">
        <v>-1</v>
      </c>
      <c r="M493" s="3">
        <v>103</v>
      </c>
    </row>
    <row r="494" spans="3:13" x14ac:dyDescent="0.2">
      <c r="C494">
        <v>1128</v>
      </c>
      <c r="D494">
        <v>39.025737999999997</v>
      </c>
      <c r="E494">
        <v>-77.137360999999999</v>
      </c>
      <c r="F494">
        <v>440</v>
      </c>
      <c r="G494">
        <v>12.189399999999999</v>
      </c>
      <c r="I494" t="s">
        <v>137</v>
      </c>
      <c r="J494">
        <v>756039</v>
      </c>
      <c r="K494">
        <v>103834</v>
      </c>
      <c r="L494" s="3">
        <v>-1</v>
      </c>
      <c r="M494" s="3">
        <v>103</v>
      </c>
    </row>
    <row r="495" spans="3:13" x14ac:dyDescent="0.2">
      <c r="C495">
        <v>1128</v>
      </c>
      <c r="D495">
        <v>39.025812000000002</v>
      </c>
      <c r="E495">
        <v>-77.137477000000004</v>
      </c>
      <c r="F495">
        <v>441</v>
      </c>
      <c r="G495">
        <v>12.1973</v>
      </c>
      <c r="I495" t="s">
        <v>137</v>
      </c>
      <c r="J495">
        <v>756040</v>
      </c>
      <c r="K495">
        <v>103829</v>
      </c>
      <c r="L495" s="3">
        <v>-1</v>
      </c>
      <c r="M495" s="3">
        <v>103</v>
      </c>
    </row>
    <row r="496" spans="3:13" x14ac:dyDescent="0.2">
      <c r="C496">
        <v>1128</v>
      </c>
      <c r="D496">
        <v>39.025888999999999</v>
      </c>
      <c r="E496">
        <v>-77.137663000000003</v>
      </c>
      <c r="F496">
        <v>442</v>
      </c>
      <c r="G496">
        <v>12.208500000000001</v>
      </c>
      <c r="I496" t="s">
        <v>137</v>
      </c>
      <c r="J496">
        <v>756040</v>
      </c>
      <c r="K496">
        <v>756057</v>
      </c>
      <c r="L496" s="3">
        <v>-1</v>
      </c>
      <c r="M496" s="3">
        <v>103</v>
      </c>
    </row>
    <row r="497" spans="3:13" x14ac:dyDescent="0.2">
      <c r="C497">
        <v>1128</v>
      </c>
      <c r="D497">
        <v>39.026119000000001</v>
      </c>
      <c r="E497">
        <v>-77.138192000000004</v>
      </c>
      <c r="F497">
        <v>443</v>
      </c>
      <c r="G497">
        <v>12.241099999999999</v>
      </c>
      <c r="I497" t="s">
        <v>137</v>
      </c>
      <c r="J497">
        <v>756050</v>
      </c>
      <c r="K497">
        <v>103306</v>
      </c>
      <c r="L497" s="3">
        <v>-1</v>
      </c>
      <c r="M497" s="3">
        <v>103</v>
      </c>
    </row>
    <row r="498" spans="3:13" x14ac:dyDescent="0.2">
      <c r="C498">
        <v>1128</v>
      </c>
      <c r="D498">
        <v>39.026209999999999</v>
      </c>
      <c r="E498">
        <v>-77.138480000000001</v>
      </c>
      <c r="F498">
        <v>444</v>
      </c>
      <c r="G498">
        <v>12.2578</v>
      </c>
      <c r="I498" t="s">
        <v>137</v>
      </c>
      <c r="J498">
        <v>756050</v>
      </c>
      <c r="K498">
        <v>103318</v>
      </c>
      <c r="L498" s="3">
        <v>-1</v>
      </c>
      <c r="M498" s="3">
        <v>103</v>
      </c>
    </row>
    <row r="499" spans="3:13" x14ac:dyDescent="0.2">
      <c r="C499">
        <v>1128</v>
      </c>
      <c r="D499">
        <v>39.026358000000002</v>
      </c>
      <c r="E499">
        <v>-77.139000999999993</v>
      </c>
      <c r="F499">
        <v>445</v>
      </c>
      <c r="G499">
        <v>12.2875</v>
      </c>
      <c r="I499" t="s">
        <v>137</v>
      </c>
      <c r="J499">
        <v>756057</v>
      </c>
      <c r="K499">
        <v>103819</v>
      </c>
      <c r="L499" s="3">
        <v>-1</v>
      </c>
      <c r="M499" s="3">
        <v>103</v>
      </c>
    </row>
    <row r="500" spans="3:13" x14ac:dyDescent="0.2">
      <c r="C500">
        <v>1128</v>
      </c>
      <c r="D500">
        <v>39.026387999999997</v>
      </c>
      <c r="E500">
        <v>-77.139140999999995</v>
      </c>
      <c r="F500">
        <v>446</v>
      </c>
      <c r="G500">
        <v>12.295299999999999</v>
      </c>
      <c r="I500" t="s">
        <v>137</v>
      </c>
      <c r="J500">
        <v>756057</v>
      </c>
      <c r="K500">
        <v>756040</v>
      </c>
      <c r="L500" s="3">
        <v>-1</v>
      </c>
      <c r="M500" s="3">
        <v>103</v>
      </c>
    </row>
    <row r="501" spans="3:13" x14ac:dyDescent="0.2">
      <c r="C501">
        <v>1128</v>
      </c>
      <c r="D501">
        <v>39.026459000000003</v>
      </c>
      <c r="E501">
        <v>-77.139493000000002</v>
      </c>
      <c r="F501">
        <v>447</v>
      </c>
      <c r="G501">
        <v>12.3148</v>
      </c>
      <c r="I501" t="s">
        <v>137</v>
      </c>
      <c r="J501">
        <v>756058</v>
      </c>
      <c r="K501">
        <v>103836</v>
      </c>
      <c r="L501" s="3">
        <v>-1</v>
      </c>
      <c r="M501" s="3">
        <v>103</v>
      </c>
    </row>
    <row r="502" spans="3:13" x14ac:dyDescent="0.2">
      <c r="C502">
        <v>1128</v>
      </c>
      <c r="D502">
        <v>39.026519</v>
      </c>
      <c r="E502">
        <v>-77.139993000000004</v>
      </c>
      <c r="F502">
        <v>448</v>
      </c>
      <c r="G502">
        <v>12.341900000000001</v>
      </c>
      <c r="I502" t="s">
        <v>137</v>
      </c>
      <c r="J502">
        <v>756058</v>
      </c>
      <c r="K502">
        <v>103865</v>
      </c>
      <c r="L502" s="3">
        <v>-1</v>
      </c>
      <c r="M502" s="3">
        <v>103</v>
      </c>
    </row>
    <row r="503" spans="3:13" x14ac:dyDescent="0.2">
      <c r="C503">
        <v>1128</v>
      </c>
      <c r="D503">
        <v>39.026549000000003</v>
      </c>
      <c r="E503">
        <v>-77.140722999999994</v>
      </c>
      <c r="F503">
        <v>449</v>
      </c>
      <c r="G503">
        <v>12.3811</v>
      </c>
      <c r="I503" t="s">
        <v>137</v>
      </c>
      <c r="J503">
        <v>756156</v>
      </c>
      <c r="K503">
        <v>103848</v>
      </c>
      <c r="L503" s="3">
        <v>-1</v>
      </c>
      <c r="M503" s="3">
        <v>103</v>
      </c>
    </row>
    <row r="504" spans="3:13" x14ac:dyDescent="0.2">
      <c r="C504">
        <v>1128</v>
      </c>
      <c r="D504">
        <v>39.026538000000002</v>
      </c>
      <c r="E504">
        <v>-77.141323</v>
      </c>
      <c r="F504">
        <v>450</v>
      </c>
      <c r="G504">
        <v>12.4133</v>
      </c>
      <c r="I504" t="s">
        <v>137</v>
      </c>
      <c r="J504">
        <v>756156</v>
      </c>
      <c r="K504">
        <v>103858</v>
      </c>
      <c r="L504" s="3">
        <v>-1</v>
      </c>
      <c r="M504" s="3">
        <v>103</v>
      </c>
    </row>
    <row r="505" spans="3:13" x14ac:dyDescent="0.2">
      <c r="C505">
        <v>1128</v>
      </c>
      <c r="D505">
        <v>39.026538000000002</v>
      </c>
      <c r="E505">
        <v>-77.141574000000006</v>
      </c>
      <c r="F505">
        <v>451</v>
      </c>
      <c r="G505">
        <v>12.4267</v>
      </c>
      <c r="I505" t="s">
        <v>137</v>
      </c>
      <c r="J505">
        <v>756157</v>
      </c>
      <c r="K505">
        <v>9</v>
      </c>
      <c r="L505" s="3">
        <v>-1</v>
      </c>
      <c r="M505" s="3">
        <v>103</v>
      </c>
    </row>
    <row r="506" spans="3:13" x14ac:dyDescent="0.2">
      <c r="C506">
        <v>1128</v>
      </c>
      <c r="D506">
        <v>39.026459000000003</v>
      </c>
      <c r="E506">
        <v>-77.141711999999998</v>
      </c>
      <c r="F506">
        <v>452</v>
      </c>
      <c r="G506">
        <v>12.4358</v>
      </c>
      <c r="I506" t="s">
        <v>137</v>
      </c>
      <c r="J506">
        <v>756157</v>
      </c>
      <c r="K506">
        <v>103847</v>
      </c>
      <c r="L506" s="3">
        <v>-1</v>
      </c>
      <c r="M506" s="3">
        <v>103</v>
      </c>
    </row>
    <row r="507" spans="3:13" x14ac:dyDescent="0.2">
      <c r="C507">
        <v>1128</v>
      </c>
      <c r="D507">
        <v>39.026508</v>
      </c>
      <c r="E507">
        <v>-77.141863000000001</v>
      </c>
      <c r="F507">
        <v>453</v>
      </c>
      <c r="G507">
        <v>12.4445</v>
      </c>
      <c r="I507" t="s">
        <v>137</v>
      </c>
      <c r="J507">
        <v>756400</v>
      </c>
      <c r="K507">
        <v>114259</v>
      </c>
      <c r="L507" s="3">
        <v>-1</v>
      </c>
      <c r="M507" s="3">
        <v>103</v>
      </c>
    </row>
    <row r="508" spans="3:13" x14ac:dyDescent="0.2">
      <c r="C508">
        <v>1128</v>
      </c>
      <c r="D508">
        <v>39.026488999999998</v>
      </c>
      <c r="E508">
        <v>-77.142960000000002</v>
      </c>
      <c r="F508">
        <v>454</v>
      </c>
      <c r="G508">
        <v>12.503399999999999</v>
      </c>
      <c r="I508" t="s">
        <v>137</v>
      </c>
      <c r="J508">
        <v>756400</v>
      </c>
      <c r="K508">
        <v>114268</v>
      </c>
      <c r="L508" s="3">
        <v>-1</v>
      </c>
      <c r="M508" s="3">
        <v>103</v>
      </c>
    </row>
    <row r="509" spans="3:13" x14ac:dyDescent="0.2">
      <c r="C509">
        <v>1128</v>
      </c>
      <c r="D509">
        <v>39.026488999999998</v>
      </c>
      <c r="E509">
        <v>-77.143983000000006</v>
      </c>
      <c r="F509">
        <v>455</v>
      </c>
      <c r="G509">
        <v>12.558299999999999</v>
      </c>
      <c r="I509" t="s">
        <v>137</v>
      </c>
      <c r="J509">
        <v>756442</v>
      </c>
      <c r="K509">
        <v>107108</v>
      </c>
      <c r="L509" s="3">
        <v>-1</v>
      </c>
      <c r="M509" s="3">
        <v>103</v>
      </c>
    </row>
    <row r="510" spans="3:13" x14ac:dyDescent="0.2">
      <c r="C510">
        <v>1128</v>
      </c>
      <c r="D510">
        <v>39.026519</v>
      </c>
      <c r="E510">
        <v>-77.144001000000003</v>
      </c>
      <c r="F510">
        <v>456</v>
      </c>
      <c r="G510">
        <v>12.560600000000001</v>
      </c>
      <c r="I510" t="s">
        <v>137</v>
      </c>
      <c r="J510">
        <v>756750</v>
      </c>
      <c r="K510">
        <v>103817</v>
      </c>
      <c r="L510" s="3">
        <v>-1</v>
      </c>
      <c r="M510" s="3">
        <v>103</v>
      </c>
    </row>
    <row r="511" spans="3:13" x14ac:dyDescent="0.2">
      <c r="C511">
        <v>1128</v>
      </c>
      <c r="D511">
        <v>39.026488999999998</v>
      </c>
      <c r="E511">
        <v>-77.143983000000006</v>
      </c>
      <c r="F511">
        <v>457</v>
      </c>
      <c r="G511">
        <v>12.562900000000001</v>
      </c>
      <c r="I511" t="s">
        <v>137</v>
      </c>
      <c r="J511">
        <v>756750</v>
      </c>
      <c r="K511">
        <v>103819</v>
      </c>
      <c r="L511" s="3">
        <v>-1</v>
      </c>
      <c r="M511" s="3">
        <v>103</v>
      </c>
    </row>
    <row r="512" spans="3:13" x14ac:dyDescent="0.2">
      <c r="C512">
        <v>1128</v>
      </c>
      <c r="D512">
        <v>39.026538000000002</v>
      </c>
      <c r="E512">
        <v>-77.144692000000006</v>
      </c>
      <c r="F512">
        <v>458</v>
      </c>
      <c r="G512">
        <v>12.600899999999999</v>
      </c>
      <c r="I512" t="s">
        <v>137</v>
      </c>
      <c r="J512">
        <v>756752</v>
      </c>
      <c r="K512">
        <v>103874</v>
      </c>
      <c r="L512" s="3">
        <v>-1</v>
      </c>
      <c r="M512" s="3">
        <v>103</v>
      </c>
    </row>
    <row r="513" spans="3:13" x14ac:dyDescent="0.2">
      <c r="C513">
        <v>1128</v>
      </c>
      <c r="D513">
        <v>39.026670000000003</v>
      </c>
      <c r="E513">
        <v>-77.145572000000001</v>
      </c>
      <c r="F513">
        <v>459</v>
      </c>
      <c r="G513">
        <v>12.649100000000001</v>
      </c>
      <c r="I513" t="s">
        <v>137</v>
      </c>
      <c r="J513">
        <v>756752</v>
      </c>
      <c r="K513">
        <v>103876</v>
      </c>
      <c r="L513" s="3">
        <v>-1</v>
      </c>
      <c r="M513" s="3">
        <v>103</v>
      </c>
    </row>
    <row r="514" spans="3:13" x14ac:dyDescent="0.2">
      <c r="C514">
        <v>1128</v>
      </c>
      <c r="D514">
        <v>39.026749000000002</v>
      </c>
      <c r="E514">
        <v>-77.145923999999994</v>
      </c>
      <c r="F514">
        <v>460</v>
      </c>
      <c r="G514">
        <v>12.668699999999999</v>
      </c>
      <c r="I514" t="s">
        <v>137</v>
      </c>
      <c r="J514">
        <v>756850</v>
      </c>
      <c r="K514">
        <v>116470</v>
      </c>
      <c r="L514" s="3">
        <v>-1</v>
      </c>
      <c r="M514" s="3">
        <v>103</v>
      </c>
    </row>
    <row r="515" spans="3:13" x14ac:dyDescent="0.2">
      <c r="C515">
        <v>1128</v>
      </c>
      <c r="D515">
        <v>39.026395999999998</v>
      </c>
      <c r="E515">
        <v>-77.146062000000001</v>
      </c>
      <c r="F515">
        <v>461</v>
      </c>
      <c r="G515">
        <v>12.694100000000001</v>
      </c>
      <c r="I515" t="s">
        <v>137</v>
      </c>
      <c r="J515">
        <v>756850</v>
      </c>
      <c r="K515">
        <v>116472</v>
      </c>
      <c r="L515" s="3">
        <v>-1</v>
      </c>
      <c r="M515" s="3">
        <v>103</v>
      </c>
    </row>
    <row r="516" spans="3:13" x14ac:dyDescent="0.2">
      <c r="C516">
        <v>1128</v>
      </c>
      <c r="D516">
        <v>39.026355000000002</v>
      </c>
      <c r="E516">
        <v>-77.145906999999994</v>
      </c>
      <c r="F516">
        <v>462</v>
      </c>
      <c r="G516">
        <v>12.7028</v>
      </c>
      <c r="I516" t="s">
        <v>137</v>
      </c>
      <c r="J516">
        <v>757343</v>
      </c>
      <c r="K516">
        <v>231809</v>
      </c>
      <c r="L516" s="3">
        <v>-1</v>
      </c>
      <c r="M516" s="3">
        <v>103</v>
      </c>
    </row>
    <row r="517" spans="3:13" x14ac:dyDescent="0.2">
      <c r="C517">
        <v>1129</v>
      </c>
      <c r="D517">
        <v>38.994365000000002</v>
      </c>
      <c r="E517">
        <v>-77.027935999999997</v>
      </c>
      <c r="F517">
        <v>1</v>
      </c>
      <c r="G517">
        <v>0</v>
      </c>
      <c r="I517" t="s">
        <v>137</v>
      </c>
      <c r="J517">
        <v>757343</v>
      </c>
      <c r="K517">
        <v>231814</v>
      </c>
      <c r="L517" s="3">
        <v>-1</v>
      </c>
      <c r="M517" s="3">
        <v>103</v>
      </c>
    </row>
    <row r="518" spans="3:13" x14ac:dyDescent="0.2">
      <c r="C518">
        <v>1129</v>
      </c>
      <c r="D518">
        <v>38.994498999999998</v>
      </c>
      <c r="E518">
        <v>-77.027941999999996</v>
      </c>
      <c r="F518">
        <v>2</v>
      </c>
      <c r="G518">
        <v>9.2999999999999992E-3</v>
      </c>
      <c r="I518" t="s">
        <v>137</v>
      </c>
      <c r="J518">
        <v>757384</v>
      </c>
      <c r="K518">
        <v>103845</v>
      </c>
      <c r="L518" s="3">
        <v>-1</v>
      </c>
      <c r="M518" s="3">
        <v>103</v>
      </c>
    </row>
    <row r="519" spans="3:13" x14ac:dyDescent="0.2">
      <c r="C519">
        <v>1129</v>
      </c>
      <c r="D519">
        <v>38.994498999999998</v>
      </c>
      <c r="E519">
        <v>-77.027666999999994</v>
      </c>
      <c r="F519">
        <v>3</v>
      </c>
      <c r="G519">
        <v>2.41E-2</v>
      </c>
      <c r="I519" t="s">
        <v>137</v>
      </c>
      <c r="J519">
        <v>757407</v>
      </c>
      <c r="K519">
        <v>108891</v>
      </c>
      <c r="L519" s="3">
        <v>-1</v>
      </c>
      <c r="M519" s="3">
        <v>103</v>
      </c>
    </row>
    <row r="520" spans="3:13" x14ac:dyDescent="0.2">
      <c r="C520">
        <v>1129</v>
      </c>
      <c r="D520">
        <v>38.994669000000002</v>
      </c>
      <c r="E520">
        <v>-77.027664000000001</v>
      </c>
      <c r="F520">
        <v>4</v>
      </c>
      <c r="G520">
        <v>3.5799999999999998E-2</v>
      </c>
      <c r="I520" t="s">
        <v>137</v>
      </c>
      <c r="J520">
        <v>757407</v>
      </c>
      <c r="K520">
        <v>109524</v>
      </c>
      <c r="L520" s="3">
        <v>-1</v>
      </c>
      <c r="M520" s="3">
        <v>103</v>
      </c>
    </row>
    <row r="521" spans="3:13" x14ac:dyDescent="0.2">
      <c r="C521">
        <v>1129</v>
      </c>
      <c r="D521">
        <v>38.994498999999998</v>
      </c>
      <c r="E521">
        <v>-77.027941999999996</v>
      </c>
      <c r="F521">
        <v>5</v>
      </c>
      <c r="G521">
        <v>5.45E-2</v>
      </c>
      <c r="I521" t="s">
        <v>137</v>
      </c>
      <c r="J521">
        <v>757461</v>
      </c>
      <c r="K521">
        <v>327504</v>
      </c>
      <c r="L521" s="3">
        <v>-1</v>
      </c>
      <c r="M521" s="3">
        <v>103</v>
      </c>
    </row>
    <row r="522" spans="3:13" x14ac:dyDescent="0.2">
      <c r="C522">
        <v>1129</v>
      </c>
      <c r="D522">
        <v>38.994506999999999</v>
      </c>
      <c r="E522">
        <v>-77.029139999999998</v>
      </c>
      <c r="F522">
        <v>6</v>
      </c>
      <c r="G522">
        <v>0.11890000000000001</v>
      </c>
      <c r="I522" t="s">
        <v>137</v>
      </c>
      <c r="J522">
        <v>757462</v>
      </c>
      <c r="K522">
        <v>327504</v>
      </c>
      <c r="L522" s="3">
        <v>-1</v>
      </c>
      <c r="M522" s="3">
        <v>103</v>
      </c>
    </row>
    <row r="523" spans="3:13" x14ac:dyDescent="0.2">
      <c r="C523">
        <v>1129</v>
      </c>
      <c r="D523">
        <v>38.994529</v>
      </c>
      <c r="E523">
        <v>-77.029313000000002</v>
      </c>
      <c r="F523">
        <v>7</v>
      </c>
      <c r="G523">
        <v>0.12820000000000001</v>
      </c>
      <c r="I523" t="s">
        <v>137</v>
      </c>
      <c r="J523">
        <v>101662</v>
      </c>
      <c r="K523">
        <v>101663</v>
      </c>
      <c r="L523" s="3">
        <v>-1</v>
      </c>
      <c r="M523" s="3">
        <v>201</v>
      </c>
    </row>
    <row r="524" spans="3:13" x14ac:dyDescent="0.2">
      <c r="C524">
        <v>1129</v>
      </c>
      <c r="D524">
        <v>38.994590000000002</v>
      </c>
      <c r="E524">
        <v>-77.029522999999998</v>
      </c>
      <c r="F524">
        <v>8</v>
      </c>
      <c r="G524">
        <v>0.14019999999999999</v>
      </c>
      <c r="I524" t="s">
        <v>137</v>
      </c>
      <c r="J524">
        <v>101662</v>
      </c>
      <c r="K524">
        <v>124623</v>
      </c>
      <c r="L524" s="3">
        <v>-1</v>
      </c>
      <c r="M524" s="3">
        <v>201</v>
      </c>
    </row>
    <row r="525" spans="3:13" x14ac:dyDescent="0.2">
      <c r="C525">
        <v>1129</v>
      </c>
      <c r="D525">
        <v>38.994779000000001</v>
      </c>
      <c r="E525">
        <v>-77.030163000000002</v>
      </c>
      <c r="F525">
        <v>9</v>
      </c>
      <c r="G525">
        <v>0.1769</v>
      </c>
      <c r="I525" t="s">
        <v>137</v>
      </c>
      <c r="J525">
        <v>101740</v>
      </c>
      <c r="K525">
        <v>755156</v>
      </c>
      <c r="L525" s="3">
        <v>-1</v>
      </c>
      <c r="M525" s="3">
        <v>201</v>
      </c>
    </row>
    <row r="526" spans="3:13" x14ac:dyDescent="0.2">
      <c r="C526">
        <v>1129</v>
      </c>
      <c r="D526">
        <v>38.994365000000002</v>
      </c>
      <c r="E526">
        <v>-77.030887000000007</v>
      </c>
      <c r="F526">
        <v>10</v>
      </c>
      <c r="G526">
        <v>0.2248</v>
      </c>
      <c r="I526" t="s">
        <v>137</v>
      </c>
      <c r="J526">
        <v>101743</v>
      </c>
      <c r="K526">
        <v>101745</v>
      </c>
      <c r="L526" s="3">
        <v>-1</v>
      </c>
      <c r="M526" s="3">
        <v>201</v>
      </c>
    </row>
    <row r="527" spans="3:13" x14ac:dyDescent="0.2">
      <c r="C527">
        <v>1129</v>
      </c>
      <c r="D527">
        <v>38.994472000000002</v>
      </c>
      <c r="E527">
        <v>-77.030985000000001</v>
      </c>
      <c r="F527">
        <v>11</v>
      </c>
      <c r="G527">
        <v>0.2339</v>
      </c>
      <c r="I527" t="s">
        <v>137</v>
      </c>
      <c r="J527">
        <v>101743</v>
      </c>
      <c r="K527">
        <v>755156</v>
      </c>
      <c r="L527" s="3">
        <v>-1</v>
      </c>
      <c r="M527" s="3">
        <v>201</v>
      </c>
    </row>
    <row r="528" spans="3:13" x14ac:dyDescent="0.2">
      <c r="C528">
        <v>1129</v>
      </c>
      <c r="D528">
        <v>38.994079999999997</v>
      </c>
      <c r="E528">
        <v>-77.031391999999997</v>
      </c>
      <c r="F528">
        <v>12</v>
      </c>
      <c r="G528">
        <v>0.26840000000000003</v>
      </c>
      <c r="I528" t="s">
        <v>137</v>
      </c>
      <c r="J528">
        <v>101745</v>
      </c>
      <c r="K528">
        <v>101743</v>
      </c>
      <c r="L528" s="3">
        <v>-1</v>
      </c>
      <c r="M528" s="3">
        <v>201</v>
      </c>
    </row>
    <row r="529" spans="3:13" x14ac:dyDescent="0.2">
      <c r="C529">
        <v>1129</v>
      </c>
      <c r="D529">
        <v>38.993597999999999</v>
      </c>
      <c r="E529">
        <v>-77.032240999999999</v>
      </c>
      <c r="F529">
        <v>13</v>
      </c>
      <c r="G529">
        <v>0.32440000000000002</v>
      </c>
      <c r="I529" t="s">
        <v>137</v>
      </c>
      <c r="J529">
        <v>101745</v>
      </c>
      <c r="K529">
        <v>101746</v>
      </c>
      <c r="L529" s="3">
        <v>-1</v>
      </c>
      <c r="M529" s="3">
        <v>201</v>
      </c>
    </row>
    <row r="530" spans="3:13" x14ac:dyDescent="0.2">
      <c r="C530">
        <v>1129</v>
      </c>
      <c r="D530">
        <v>38.993929000000001</v>
      </c>
      <c r="E530">
        <v>-77.032610000000005</v>
      </c>
      <c r="F530">
        <v>14</v>
      </c>
      <c r="G530">
        <v>0.35470000000000002</v>
      </c>
      <c r="I530" t="s">
        <v>137</v>
      </c>
      <c r="J530">
        <v>101746</v>
      </c>
      <c r="K530">
        <v>101745</v>
      </c>
      <c r="L530" s="3">
        <v>-1</v>
      </c>
      <c r="M530" s="3">
        <v>201</v>
      </c>
    </row>
    <row r="531" spans="3:13" x14ac:dyDescent="0.2">
      <c r="C531">
        <v>1129</v>
      </c>
      <c r="D531">
        <v>38.994137000000002</v>
      </c>
      <c r="E531">
        <v>-77.032953000000006</v>
      </c>
      <c r="F531">
        <v>15</v>
      </c>
      <c r="G531">
        <v>0.37819999999999998</v>
      </c>
      <c r="I531" t="s">
        <v>137</v>
      </c>
      <c r="J531">
        <v>101746</v>
      </c>
      <c r="K531">
        <v>101747</v>
      </c>
      <c r="L531" s="3">
        <v>-1</v>
      </c>
      <c r="M531" s="3">
        <v>201</v>
      </c>
    </row>
    <row r="532" spans="3:13" x14ac:dyDescent="0.2">
      <c r="C532">
        <v>1129</v>
      </c>
      <c r="D532">
        <v>38.994239</v>
      </c>
      <c r="E532">
        <v>-77.033184000000006</v>
      </c>
      <c r="F532">
        <v>16</v>
      </c>
      <c r="G532">
        <v>0.39240000000000003</v>
      </c>
      <c r="I532" t="s">
        <v>137</v>
      </c>
      <c r="J532">
        <v>101747</v>
      </c>
      <c r="K532">
        <v>101746</v>
      </c>
      <c r="L532" s="3">
        <v>-1</v>
      </c>
      <c r="M532" s="3">
        <v>201</v>
      </c>
    </row>
    <row r="533" spans="3:13" x14ac:dyDescent="0.2">
      <c r="C533">
        <v>1129</v>
      </c>
      <c r="D533">
        <v>38.994315999999998</v>
      </c>
      <c r="E533">
        <v>-77.033126999999993</v>
      </c>
      <c r="F533">
        <v>17</v>
      </c>
      <c r="G533">
        <v>0.39850000000000002</v>
      </c>
      <c r="I533" t="s">
        <v>137</v>
      </c>
      <c r="J533">
        <v>101747</v>
      </c>
      <c r="K533">
        <v>754817</v>
      </c>
      <c r="L533" s="3">
        <v>-1</v>
      </c>
      <c r="M533" s="3">
        <v>201</v>
      </c>
    </row>
    <row r="534" spans="3:13" x14ac:dyDescent="0.2">
      <c r="C534">
        <v>1129</v>
      </c>
      <c r="D534">
        <v>38.994280000000003</v>
      </c>
      <c r="E534">
        <v>-77.033271999999997</v>
      </c>
      <c r="F534">
        <v>18</v>
      </c>
      <c r="G534">
        <v>0.40660000000000002</v>
      </c>
      <c r="I534" t="s">
        <v>137</v>
      </c>
      <c r="J534">
        <v>101747</v>
      </c>
      <c r="K534">
        <v>755738</v>
      </c>
      <c r="L534" s="3">
        <v>-1</v>
      </c>
      <c r="M534" s="3">
        <v>201</v>
      </c>
    </row>
    <row r="535" spans="3:13" x14ac:dyDescent="0.2">
      <c r="C535">
        <v>1129</v>
      </c>
      <c r="D535">
        <v>38.994368000000001</v>
      </c>
      <c r="E535">
        <v>-77.033552999999998</v>
      </c>
      <c r="F535">
        <v>19</v>
      </c>
      <c r="G535">
        <v>0.4229</v>
      </c>
      <c r="I535" t="s">
        <v>137</v>
      </c>
      <c r="J535">
        <v>101749</v>
      </c>
      <c r="K535">
        <v>756410</v>
      </c>
      <c r="L535" s="3">
        <v>-1</v>
      </c>
      <c r="M535" s="3">
        <v>201</v>
      </c>
    </row>
    <row r="536" spans="3:13" x14ac:dyDescent="0.2">
      <c r="C536">
        <v>1129</v>
      </c>
      <c r="D536">
        <v>38.994439</v>
      </c>
      <c r="E536">
        <v>-77.033851999999996</v>
      </c>
      <c r="F536">
        <v>20</v>
      </c>
      <c r="G536">
        <v>0.43959999999999999</v>
      </c>
      <c r="I536" t="s">
        <v>137</v>
      </c>
      <c r="J536">
        <v>101952</v>
      </c>
      <c r="K536">
        <v>101953</v>
      </c>
      <c r="L536" s="3">
        <v>-1</v>
      </c>
      <c r="M536" s="3">
        <v>201</v>
      </c>
    </row>
    <row r="537" spans="3:13" x14ac:dyDescent="0.2">
      <c r="C537">
        <v>1129</v>
      </c>
      <c r="D537">
        <v>38.994498999999998</v>
      </c>
      <c r="E537">
        <v>-77.034492999999998</v>
      </c>
      <c r="F537">
        <v>21</v>
      </c>
      <c r="G537">
        <v>0.47420000000000001</v>
      </c>
      <c r="I537" t="s">
        <v>137</v>
      </c>
      <c r="J537">
        <v>101953</v>
      </c>
      <c r="K537">
        <v>101952</v>
      </c>
      <c r="L537" s="3">
        <v>-1</v>
      </c>
      <c r="M537" s="3">
        <v>201</v>
      </c>
    </row>
    <row r="538" spans="3:13" x14ac:dyDescent="0.2">
      <c r="C538">
        <v>1129</v>
      </c>
      <c r="D538">
        <v>38.994490999999996</v>
      </c>
      <c r="E538">
        <v>-77.035053000000005</v>
      </c>
      <c r="F538">
        <v>22</v>
      </c>
      <c r="G538">
        <v>0.50439999999999996</v>
      </c>
      <c r="I538" t="s">
        <v>137</v>
      </c>
      <c r="J538">
        <v>101997</v>
      </c>
      <c r="K538">
        <v>102000</v>
      </c>
      <c r="L538" s="3">
        <v>-1</v>
      </c>
      <c r="M538" s="3">
        <v>201</v>
      </c>
    </row>
    <row r="539" spans="3:13" x14ac:dyDescent="0.2">
      <c r="C539">
        <v>1129</v>
      </c>
      <c r="D539">
        <v>38.994579000000002</v>
      </c>
      <c r="E539">
        <v>-77.035051999999993</v>
      </c>
      <c r="F539">
        <v>23</v>
      </c>
      <c r="G539">
        <v>0.51039999999999996</v>
      </c>
      <c r="I539" t="s">
        <v>137</v>
      </c>
      <c r="J539">
        <v>101997</v>
      </c>
      <c r="K539">
        <v>755555</v>
      </c>
      <c r="L539" s="3">
        <v>-1</v>
      </c>
      <c r="M539" s="3">
        <v>201</v>
      </c>
    </row>
    <row r="540" spans="3:13" x14ac:dyDescent="0.2">
      <c r="C540">
        <v>1129</v>
      </c>
      <c r="D540">
        <v>38.994487999999997</v>
      </c>
      <c r="E540">
        <v>-77.035281999999995</v>
      </c>
      <c r="F540">
        <v>24</v>
      </c>
      <c r="G540">
        <v>0.52410000000000001</v>
      </c>
      <c r="I540" t="s">
        <v>137</v>
      </c>
      <c r="J540">
        <v>102000</v>
      </c>
      <c r="K540">
        <v>101997</v>
      </c>
      <c r="L540" s="3">
        <v>-1</v>
      </c>
      <c r="M540" s="3">
        <v>201</v>
      </c>
    </row>
    <row r="541" spans="3:13" x14ac:dyDescent="0.2">
      <c r="C541">
        <v>1129</v>
      </c>
      <c r="D541">
        <v>38.994517999999999</v>
      </c>
      <c r="E541">
        <v>-77.036230000000003</v>
      </c>
      <c r="F541">
        <v>25</v>
      </c>
      <c r="G541">
        <v>0.57499999999999996</v>
      </c>
      <c r="I541" t="s">
        <v>137</v>
      </c>
      <c r="J541">
        <v>102000</v>
      </c>
      <c r="K541">
        <v>102001</v>
      </c>
      <c r="L541" s="3">
        <v>-1</v>
      </c>
      <c r="M541" s="3">
        <v>201</v>
      </c>
    </row>
    <row r="542" spans="3:13" x14ac:dyDescent="0.2">
      <c r="C542">
        <v>1129</v>
      </c>
      <c r="D542">
        <v>38.994517999999999</v>
      </c>
      <c r="E542">
        <v>-77.036349999999999</v>
      </c>
      <c r="F542">
        <v>26</v>
      </c>
      <c r="G542">
        <v>0.58140000000000003</v>
      </c>
      <c r="I542" t="s">
        <v>137</v>
      </c>
      <c r="J542">
        <v>102001</v>
      </c>
      <c r="K542">
        <v>102000</v>
      </c>
      <c r="L542" s="3">
        <v>-1</v>
      </c>
      <c r="M542" s="3">
        <v>201</v>
      </c>
    </row>
    <row r="543" spans="3:13" x14ac:dyDescent="0.2">
      <c r="C543">
        <v>1129</v>
      </c>
      <c r="D543">
        <v>38.994568000000001</v>
      </c>
      <c r="E543">
        <v>-77.036843000000005</v>
      </c>
      <c r="F543">
        <v>27</v>
      </c>
      <c r="G543">
        <v>0.60809999999999997</v>
      </c>
      <c r="I543" t="s">
        <v>137</v>
      </c>
      <c r="J543">
        <v>102001</v>
      </c>
      <c r="K543">
        <v>755951</v>
      </c>
      <c r="L543" s="3">
        <v>-1</v>
      </c>
      <c r="M543" s="3">
        <v>201</v>
      </c>
    </row>
    <row r="544" spans="3:13" x14ac:dyDescent="0.2">
      <c r="C544">
        <v>1129</v>
      </c>
      <c r="D544">
        <v>38.994608999999997</v>
      </c>
      <c r="E544">
        <v>-77.037023000000005</v>
      </c>
      <c r="F544">
        <v>28</v>
      </c>
      <c r="G544">
        <v>0.61819999999999997</v>
      </c>
      <c r="I544" t="s">
        <v>137</v>
      </c>
      <c r="J544">
        <v>102010</v>
      </c>
      <c r="K544">
        <v>102014</v>
      </c>
      <c r="L544" s="3">
        <v>-1</v>
      </c>
      <c r="M544" s="3">
        <v>201</v>
      </c>
    </row>
    <row r="545" spans="3:13" x14ac:dyDescent="0.2">
      <c r="C545">
        <v>1129</v>
      </c>
      <c r="D545">
        <v>38.994698999999997</v>
      </c>
      <c r="E545">
        <v>-77.037293000000005</v>
      </c>
      <c r="F545">
        <v>29</v>
      </c>
      <c r="G545">
        <v>0.63390000000000002</v>
      </c>
      <c r="I545" t="s">
        <v>137</v>
      </c>
      <c r="J545">
        <v>102014</v>
      </c>
      <c r="K545">
        <v>102028</v>
      </c>
      <c r="L545" s="3">
        <v>-1</v>
      </c>
      <c r="M545" s="3">
        <v>201</v>
      </c>
    </row>
    <row r="546" spans="3:13" x14ac:dyDescent="0.2">
      <c r="C546">
        <v>1129</v>
      </c>
      <c r="D546">
        <v>38.994869000000001</v>
      </c>
      <c r="E546">
        <v>-77.037643000000003</v>
      </c>
      <c r="F546">
        <v>30</v>
      </c>
      <c r="G546">
        <v>0.65610000000000002</v>
      </c>
      <c r="I546" t="s">
        <v>137</v>
      </c>
      <c r="J546">
        <v>102014</v>
      </c>
      <c r="K546">
        <v>755718</v>
      </c>
      <c r="L546" s="3">
        <v>-1</v>
      </c>
      <c r="M546" s="3">
        <v>201</v>
      </c>
    </row>
    <row r="547" spans="3:13" x14ac:dyDescent="0.2">
      <c r="C547">
        <v>1129</v>
      </c>
      <c r="D547">
        <v>38.995049999999999</v>
      </c>
      <c r="E547">
        <v>-77.037960999999996</v>
      </c>
      <c r="F547">
        <v>31</v>
      </c>
      <c r="G547">
        <v>0.67730000000000001</v>
      </c>
      <c r="I547" t="s">
        <v>137</v>
      </c>
      <c r="J547">
        <v>102028</v>
      </c>
      <c r="K547">
        <v>102014</v>
      </c>
      <c r="L547" s="3">
        <v>-1</v>
      </c>
      <c r="M547" s="3">
        <v>201</v>
      </c>
    </row>
    <row r="548" spans="3:13" x14ac:dyDescent="0.2">
      <c r="C548">
        <v>1129</v>
      </c>
      <c r="D548">
        <v>38.995249999999999</v>
      </c>
      <c r="E548">
        <v>-77.038269</v>
      </c>
      <c r="F548">
        <v>32</v>
      </c>
      <c r="G548">
        <v>0.69889999999999997</v>
      </c>
      <c r="I548" t="s">
        <v>137</v>
      </c>
      <c r="J548">
        <v>102028</v>
      </c>
      <c r="K548">
        <v>102029</v>
      </c>
      <c r="L548" s="3">
        <v>-1</v>
      </c>
      <c r="M548" s="3">
        <v>201</v>
      </c>
    </row>
    <row r="549" spans="3:13" x14ac:dyDescent="0.2">
      <c r="C549">
        <v>1129</v>
      </c>
      <c r="D549">
        <v>38.995308000000001</v>
      </c>
      <c r="E549">
        <v>-77.038207999999997</v>
      </c>
      <c r="F549">
        <v>33</v>
      </c>
      <c r="G549">
        <v>0.70399999999999996</v>
      </c>
      <c r="I549" t="s">
        <v>137</v>
      </c>
      <c r="J549">
        <v>102029</v>
      </c>
      <c r="K549">
        <v>102028</v>
      </c>
      <c r="L549" s="3">
        <v>-1</v>
      </c>
      <c r="M549" s="3">
        <v>201</v>
      </c>
    </row>
    <row r="550" spans="3:13" x14ac:dyDescent="0.2">
      <c r="C550">
        <v>1129</v>
      </c>
      <c r="D550">
        <v>38.995477000000001</v>
      </c>
      <c r="E550">
        <v>-77.038611000000003</v>
      </c>
      <c r="F550">
        <v>34</v>
      </c>
      <c r="G550">
        <v>0.72860000000000003</v>
      </c>
      <c r="I550" t="s">
        <v>137</v>
      </c>
      <c r="J550">
        <v>102029</v>
      </c>
      <c r="K550">
        <v>230889</v>
      </c>
      <c r="L550" s="3">
        <v>-1</v>
      </c>
      <c r="M550" s="3">
        <v>201</v>
      </c>
    </row>
    <row r="551" spans="3:13" x14ac:dyDescent="0.2">
      <c r="C551">
        <v>1129</v>
      </c>
      <c r="D551">
        <v>38.995708</v>
      </c>
      <c r="E551">
        <v>-77.038972000000001</v>
      </c>
      <c r="F551">
        <v>35</v>
      </c>
      <c r="G551">
        <v>0.75360000000000005</v>
      </c>
      <c r="I551" t="s">
        <v>137</v>
      </c>
      <c r="J551">
        <v>102029</v>
      </c>
      <c r="K551">
        <v>755338</v>
      </c>
      <c r="L551" s="3">
        <v>-1</v>
      </c>
      <c r="M551" s="3">
        <v>201</v>
      </c>
    </row>
    <row r="552" spans="3:13" x14ac:dyDescent="0.2">
      <c r="C552">
        <v>1129</v>
      </c>
      <c r="D552">
        <v>38.995899000000001</v>
      </c>
      <c r="E552">
        <v>-77.039299999999997</v>
      </c>
      <c r="F552">
        <v>36</v>
      </c>
      <c r="G552">
        <v>0.77580000000000005</v>
      </c>
      <c r="I552" t="s">
        <v>137</v>
      </c>
      <c r="J552">
        <v>104144</v>
      </c>
      <c r="K552">
        <v>754817</v>
      </c>
      <c r="L552" s="3">
        <v>-1</v>
      </c>
      <c r="M552" s="3">
        <v>201</v>
      </c>
    </row>
    <row r="553" spans="3:13" x14ac:dyDescent="0.2">
      <c r="C553">
        <v>1129</v>
      </c>
      <c r="D553">
        <v>38.996057999999998</v>
      </c>
      <c r="E553">
        <v>-77.039681999999999</v>
      </c>
      <c r="F553">
        <v>37</v>
      </c>
      <c r="G553">
        <v>0.79910000000000003</v>
      </c>
      <c r="I553" t="s">
        <v>137</v>
      </c>
      <c r="J553">
        <v>104144</v>
      </c>
      <c r="K553">
        <v>755452</v>
      </c>
      <c r="L553" s="3">
        <v>-1</v>
      </c>
      <c r="M553" s="3">
        <v>201</v>
      </c>
    </row>
    <row r="554" spans="3:13" x14ac:dyDescent="0.2">
      <c r="C554">
        <v>1129</v>
      </c>
      <c r="D554">
        <v>38.996130000000001</v>
      </c>
      <c r="E554">
        <v>-77.039941999999996</v>
      </c>
      <c r="F554">
        <v>38</v>
      </c>
      <c r="G554">
        <v>0.81379999999999997</v>
      </c>
      <c r="I554" t="s">
        <v>137</v>
      </c>
      <c r="J554">
        <v>104144</v>
      </c>
      <c r="K554">
        <v>755736</v>
      </c>
      <c r="L554" s="3">
        <v>-1</v>
      </c>
      <c r="M554" s="3">
        <v>201</v>
      </c>
    </row>
    <row r="555" spans="3:13" x14ac:dyDescent="0.2">
      <c r="C555">
        <v>1129</v>
      </c>
      <c r="D555">
        <v>38.996149000000003</v>
      </c>
      <c r="E555">
        <v>-77.040182000000001</v>
      </c>
      <c r="F555">
        <v>39</v>
      </c>
      <c r="G555">
        <v>0.82669999999999999</v>
      </c>
      <c r="I555" t="s">
        <v>137</v>
      </c>
      <c r="J555">
        <v>104148</v>
      </c>
      <c r="K555">
        <v>755737</v>
      </c>
      <c r="L555" s="3">
        <v>-1</v>
      </c>
      <c r="M555" s="3">
        <v>201</v>
      </c>
    </row>
    <row r="556" spans="3:13" x14ac:dyDescent="0.2">
      <c r="C556">
        <v>1129</v>
      </c>
      <c r="D556">
        <v>38.996160000000003</v>
      </c>
      <c r="E556">
        <v>-77.040362000000002</v>
      </c>
      <c r="F556">
        <v>40</v>
      </c>
      <c r="G556">
        <v>0.83640000000000003</v>
      </c>
      <c r="I556" t="s">
        <v>137</v>
      </c>
      <c r="J556">
        <v>104148</v>
      </c>
      <c r="K556">
        <v>756033</v>
      </c>
      <c r="L556" s="3">
        <v>-1</v>
      </c>
      <c r="M556" s="3">
        <v>201</v>
      </c>
    </row>
    <row r="557" spans="3:13" x14ac:dyDescent="0.2">
      <c r="C557">
        <v>1129</v>
      </c>
      <c r="D557">
        <v>38.996149000000003</v>
      </c>
      <c r="E557">
        <v>-77.040572999999995</v>
      </c>
      <c r="F557">
        <v>41</v>
      </c>
      <c r="G557">
        <v>0.84770000000000001</v>
      </c>
      <c r="I557" t="s">
        <v>137</v>
      </c>
      <c r="J557">
        <v>104148</v>
      </c>
      <c r="K557">
        <v>757324</v>
      </c>
      <c r="L557" s="3">
        <v>-1</v>
      </c>
      <c r="M557" s="3">
        <v>201</v>
      </c>
    </row>
    <row r="558" spans="3:13" x14ac:dyDescent="0.2">
      <c r="C558">
        <v>1129</v>
      </c>
      <c r="D558">
        <v>38.996124000000002</v>
      </c>
      <c r="E558">
        <v>-77.040739000000002</v>
      </c>
      <c r="F558">
        <v>42</v>
      </c>
      <c r="G558">
        <v>0.85660000000000003</v>
      </c>
      <c r="I558" t="s">
        <v>137</v>
      </c>
      <c r="J558">
        <v>107641</v>
      </c>
      <c r="K558">
        <v>755723</v>
      </c>
      <c r="L558" s="3">
        <v>-1</v>
      </c>
      <c r="M558" s="3">
        <v>201</v>
      </c>
    </row>
    <row r="559" spans="3:13" x14ac:dyDescent="0.2">
      <c r="C559">
        <v>1129</v>
      </c>
      <c r="D559">
        <v>38.996172999999999</v>
      </c>
      <c r="E559">
        <v>-77.040749000000005</v>
      </c>
      <c r="F559">
        <v>43</v>
      </c>
      <c r="G559">
        <v>0.86</v>
      </c>
      <c r="I559" t="s">
        <v>137</v>
      </c>
      <c r="J559">
        <v>114132</v>
      </c>
      <c r="K559">
        <v>230886</v>
      </c>
      <c r="L559" s="3">
        <v>-1</v>
      </c>
      <c r="M559" s="3">
        <v>201</v>
      </c>
    </row>
    <row r="560" spans="3:13" x14ac:dyDescent="0.2">
      <c r="C560">
        <v>1129</v>
      </c>
      <c r="D560">
        <v>38.996108</v>
      </c>
      <c r="E560">
        <v>-77.040852000000001</v>
      </c>
      <c r="F560">
        <v>44</v>
      </c>
      <c r="G560">
        <v>0.86699999999999999</v>
      </c>
      <c r="I560" t="s">
        <v>137</v>
      </c>
      <c r="J560">
        <v>114132</v>
      </c>
      <c r="K560">
        <v>755553</v>
      </c>
      <c r="L560" s="3">
        <v>-1</v>
      </c>
      <c r="M560" s="3">
        <v>201</v>
      </c>
    </row>
    <row r="561" spans="3:13" x14ac:dyDescent="0.2">
      <c r="C561">
        <v>1129</v>
      </c>
      <c r="D561">
        <v>38.996017000000002</v>
      </c>
      <c r="E561">
        <v>-77.041143000000005</v>
      </c>
      <c r="F561">
        <v>45</v>
      </c>
      <c r="G561">
        <v>0.88370000000000004</v>
      </c>
      <c r="I561" t="s">
        <v>137</v>
      </c>
      <c r="J561">
        <v>114142</v>
      </c>
      <c r="K561">
        <v>114146</v>
      </c>
      <c r="L561" s="3">
        <v>-1</v>
      </c>
      <c r="M561" s="3">
        <v>201</v>
      </c>
    </row>
    <row r="562" spans="3:13" x14ac:dyDescent="0.2">
      <c r="C562">
        <v>1129</v>
      </c>
      <c r="D562">
        <v>38.995838999999997</v>
      </c>
      <c r="E562">
        <v>-77.041572000000002</v>
      </c>
      <c r="F562">
        <v>46</v>
      </c>
      <c r="G562">
        <v>0.90969999999999995</v>
      </c>
      <c r="I562" t="s">
        <v>137</v>
      </c>
      <c r="J562">
        <v>114142</v>
      </c>
      <c r="K562">
        <v>755554</v>
      </c>
      <c r="L562" s="3">
        <v>-1</v>
      </c>
      <c r="M562" s="3">
        <v>201</v>
      </c>
    </row>
    <row r="563" spans="3:13" x14ac:dyDescent="0.2">
      <c r="C563">
        <v>1129</v>
      </c>
      <c r="D563">
        <v>38.995593</v>
      </c>
      <c r="E563">
        <v>-77.042047999999994</v>
      </c>
      <c r="F563">
        <v>47</v>
      </c>
      <c r="G563">
        <v>0.94020000000000004</v>
      </c>
      <c r="I563" t="s">
        <v>137</v>
      </c>
      <c r="J563">
        <v>114146</v>
      </c>
      <c r="K563">
        <v>114142</v>
      </c>
      <c r="L563" s="3">
        <v>-1</v>
      </c>
      <c r="M563" s="3">
        <v>201</v>
      </c>
    </row>
    <row r="564" spans="3:13" x14ac:dyDescent="0.2">
      <c r="C564">
        <v>1129</v>
      </c>
      <c r="D564">
        <v>38.995671999999999</v>
      </c>
      <c r="E564">
        <v>-77.042113999999998</v>
      </c>
      <c r="F564">
        <v>48</v>
      </c>
      <c r="G564">
        <v>0.9466</v>
      </c>
      <c r="I564" t="s">
        <v>137</v>
      </c>
      <c r="J564">
        <v>114146</v>
      </c>
      <c r="K564">
        <v>755555</v>
      </c>
      <c r="L564" s="3">
        <v>-1</v>
      </c>
      <c r="M564" s="3">
        <v>201</v>
      </c>
    </row>
    <row r="565" spans="3:13" x14ac:dyDescent="0.2">
      <c r="C565">
        <v>1129</v>
      </c>
      <c r="D565">
        <v>38.995519000000002</v>
      </c>
      <c r="E565">
        <v>-77.042192999999997</v>
      </c>
      <c r="F565">
        <v>49</v>
      </c>
      <c r="G565">
        <v>0.95799999999999996</v>
      </c>
      <c r="I565" t="s">
        <v>137</v>
      </c>
      <c r="J565">
        <v>114166</v>
      </c>
      <c r="K565">
        <v>101747</v>
      </c>
      <c r="L565" s="3">
        <v>-1</v>
      </c>
      <c r="M565" s="3">
        <v>201</v>
      </c>
    </row>
    <row r="566" spans="3:13" x14ac:dyDescent="0.2">
      <c r="C566">
        <v>1129</v>
      </c>
      <c r="D566">
        <v>38.994906999999998</v>
      </c>
      <c r="E566">
        <v>-77.043411000000006</v>
      </c>
      <c r="F566">
        <v>50</v>
      </c>
      <c r="G566">
        <v>1.0354000000000001</v>
      </c>
      <c r="I566" t="s">
        <v>137</v>
      </c>
      <c r="J566">
        <v>114166</v>
      </c>
      <c r="K566">
        <v>755564</v>
      </c>
      <c r="L566" s="3">
        <v>-1</v>
      </c>
      <c r="M566" s="3">
        <v>201</v>
      </c>
    </row>
    <row r="567" spans="3:13" x14ac:dyDescent="0.2">
      <c r="C567">
        <v>1129</v>
      </c>
      <c r="D567">
        <v>38.994827999999998</v>
      </c>
      <c r="E567">
        <v>-77.043581000000003</v>
      </c>
      <c r="F567">
        <v>51</v>
      </c>
      <c r="G567">
        <v>1.046</v>
      </c>
      <c r="I567" t="s">
        <v>137</v>
      </c>
      <c r="J567">
        <v>230013</v>
      </c>
      <c r="K567">
        <v>757402</v>
      </c>
      <c r="L567" s="3">
        <v>-1</v>
      </c>
      <c r="M567" s="3">
        <v>201</v>
      </c>
    </row>
    <row r="568" spans="3:13" x14ac:dyDescent="0.2">
      <c r="C568">
        <v>1129</v>
      </c>
      <c r="D568">
        <v>38.994768000000001</v>
      </c>
      <c r="E568">
        <v>-77.043783000000005</v>
      </c>
      <c r="F568">
        <v>52</v>
      </c>
      <c r="G568">
        <v>1.0576000000000001</v>
      </c>
      <c r="I568" t="s">
        <v>137</v>
      </c>
      <c r="J568">
        <v>230886</v>
      </c>
      <c r="K568">
        <v>102028</v>
      </c>
      <c r="L568" s="3">
        <v>-1</v>
      </c>
      <c r="M568" s="3">
        <v>201</v>
      </c>
    </row>
    <row r="569" spans="3:13" x14ac:dyDescent="0.2">
      <c r="C569">
        <v>1129</v>
      </c>
      <c r="D569">
        <v>38.994737999999998</v>
      </c>
      <c r="E569">
        <v>-77.043970000000002</v>
      </c>
      <c r="F569">
        <v>53</v>
      </c>
      <c r="G569">
        <v>1.0678000000000001</v>
      </c>
      <c r="I569" t="s">
        <v>137</v>
      </c>
      <c r="J569">
        <v>230886</v>
      </c>
      <c r="K569">
        <v>114132</v>
      </c>
      <c r="L569" s="3">
        <v>-1</v>
      </c>
      <c r="M569" s="3">
        <v>201</v>
      </c>
    </row>
    <row r="570" spans="3:13" x14ac:dyDescent="0.2">
      <c r="C570">
        <v>1129</v>
      </c>
      <c r="D570">
        <v>38.994706999999998</v>
      </c>
      <c r="E570">
        <v>-77.044341000000003</v>
      </c>
      <c r="F570">
        <v>54</v>
      </c>
      <c r="G570">
        <v>1.0876999999999999</v>
      </c>
      <c r="I570" t="s">
        <v>137</v>
      </c>
      <c r="J570">
        <v>230886</v>
      </c>
      <c r="K570">
        <v>230889</v>
      </c>
      <c r="L570" s="3">
        <v>-1</v>
      </c>
      <c r="M570" s="3">
        <v>201</v>
      </c>
    </row>
    <row r="571" spans="3:13" x14ac:dyDescent="0.2">
      <c r="C571">
        <v>1129</v>
      </c>
      <c r="D571">
        <v>38.994729</v>
      </c>
      <c r="E571">
        <v>-77.044601</v>
      </c>
      <c r="F571">
        <v>55</v>
      </c>
      <c r="G571">
        <v>1.1016999999999999</v>
      </c>
      <c r="I571" t="s">
        <v>137</v>
      </c>
      <c r="J571">
        <v>230889</v>
      </c>
      <c r="K571">
        <v>230886</v>
      </c>
      <c r="L571" s="3">
        <v>-1</v>
      </c>
      <c r="M571" s="3">
        <v>201</v>
      </c>
    </row>
    <row r="572" spans="3:13" x14ac:dyDescent="0.2">
      <c r="C572">
        <v>1129</v>
      </c>
      <c r="D572">
        <v>38.994888000000003</v>
      </c>
      <c r="E572">
        <v>-77.045332999999999</v>
      </c>
      <c r="F572">
        <v>56</v>
      </c>
      <c r="G572">
        <v>1.1424000000000001</v>
      </c>
      <c r="I572" t="s">
        <v>137</v>
      </c>
      <c r="J572">
        <v>754817</v>
      </c>
      <c r="K572">
        <v>101747</v>
      </c>
      <c r="L572" s="3">
        <v>-1</v>
      </c>
      <c r="M572" s="3">
        <v>201</v>
      </c>
    </row>
    <row r="573" spans="3:13" x14ac:dyDescent="0.2">
      <c r="C573">
        <v>1129</v>
      </c>
      <c r="D573">
        <v>38.994968</v>
      </c>
      <c r="E573">
        <v>-77.045303000000004</v>
      </c>
      <c r="F573">
        <v>57</v>
      </c>
      <c r="G573">
        <v>1.1480999999999999</v>
      </c>
      <c r="I573" t="s">
        <v>137</v>
      </c>
      <c r="J573">
        <v>754817</v>
      </c>
      <c r="K573">
        <v>104144</v>
      </c>
      <c r="L573" s="3">
        <v>-1</v>
      </c>
      <c r="M573" s="3">
        <v>201</v>
      </c>
    </row>
    <row r="574" spans="3:13" x14ac:dyDescent="0.2">
      <c r="C574">
        <v>1129</v>
      </c>
      <c r="D574">
        <v>38.994937999999998</v>
      </c>
      <c r="E574">
        <v>-77.045544000000007</v>
      </c>
      <c r="F574">
        <v>58</v>
      </c>
      <c r="G574">
        <v>1.161</v>
      </c>
      <c r="I574" t="s">
        <v>137</v>
      </c>
      <c r="J574">
        <v>755156</v>
      </c>
      <c r="K574">
        <v>101740</v>
      </c>
      <c r="L574" s="3">
        <v>-1</v>
      </c>
      <c r="M574" s="3">
        <v>201</v>
      </c>
    </row>
    <row r="575" spans="3:13" x14ac:dyDescent="0.2">
      <c r="C575">
        <v>1129</v>
      </c>
      <c r="D575">
        <v>38.995190000000001</v>
      </c>
      <c r="E575">
        <v>-77.046661</v>
      </c>
      <c r="F575">
        <v>59</v>
      </c>
      <c r="G575">
        <v>1.2237</v>
      </c>
      <c r="I575" t="s">
        <v>137</v>
      </c>
      <c r="J575">
        <v>755156</v>
      </c>
      <c r="K575">
        <v>101743</v>
      </c>
      <c r="L575" s="3">
        <v>-1</v>
      </c>
      <c r="M575" s="3">
        <v>201</v>
      </c>
    </row>
    <row r="576" spans="3:13" x14ac:dyDescent="0.2">
      <c r="C576">
        <v>1129</v>
      </c>
      <c r="D576">
        <v>38.995246999999999</v>
      </c>
      <c r="E576">
        <v>-77.047031000000004</v>
      </c>
      <c r="F576">
        <v>60</v>
      </c>
      <c r="G576">
        <v>1.2439</v>
      </c>
      <c r="I576" t="s">
        <v>137</v>
      </c>
      <c r="J576">
        <v>755337</v>
      </c>
      <c r="K576">
        <v>755338</v>
      </c>
      <c r="L576" s="3">
        <v>-1</v>
      </c>
      <c r="M576" s="3">
        <v>201</v>
      </c>
    </row>
    <row r="577" spans="3:13" x14ac:dyDescent="0.2">
      <c r="C577">
        <v>1129</v>
      </c>
      <c r="D577">
        <v>38.995277000000002</v>
      </c>
      <c r="E577">
        <v>-77.047410999999997</v>
      </c>
      <c r="F577">
        <v>61</v>
      </c>
      <c r="G577">
        <v>1.2644</v>
      </c>
      <c r="I577" t="s">
        <v>137</v>
      </c>
      <c r="J577">
        <v>755338</v>
      </c>
      <c r="K577">
        <v>102029</v>
      </c>
      <c r="L577" s="3">
        <v>-1</v>
      </c>
      <c r="M577" s="3">
        <v>201</v>
      </c>
    </row>
    <row r="578" spans="3:13" x14ac:dyDescent="0.2">
      <c r="C578">
        <v>1129</v>
      </c>
      <c r="D578">
        <v>38.995277000000002</v>
      </c>
      <c r="E578">
        <v>-77.047781000000001</v>
      </c>
      <c r="F578">
        <v>62</v>
      </c>
      <c r="G578">
        <v>1.2843</v>
      </c>
      <c r="I578" t="s">
        <v>137</v>
      </c>
      <c r="J578">
        <v>755338</v>
      </c>
      <c r="K578">
        <v>755337</v>
      </c>
      <c r="L578" s="3">
        <v>-1</v>
      </c>
      <c r="M578" s="3">
        <v>201</v>
      </c>
    </row>
    <row r="579" spans="3:13" x14ac:dyDescent="0.2">
      <c r="C579">
        <v>1129</v>
      </c>
      <c r="D579">
        <v>38.995258</v>
      </c>
      <c r="E579">
        <v>-77.048119999999997</v>
      </c>
      <c r="F579">
        <v>63</v>
      </c>
      <c r="G579">
        <v>1.3025</v>
      </c>
      <c r="I579" t="s">
        <v>137</v>
      </c>
      <c r="J579">
        <v>755452</v>
      </c>
      <c r="K579">
        <v>104144</v>
      </c>
      <c r="L579" s="3">
        <v>-1</v>
      </c>
      <c r="M579" s="3">
        <v>201</v>
      </c>
    </row>
    <row r="580" spans="3:13" x14ac:dyDescent="0.2">
      <c r="C580">
        <v>1129</v>
      </c>
      <c r="D580">
        <v>38.995159999999998</v>
      </c>
      <c r="E580">
        <v>-77.048970999999995</v>
      </c>
      <c r="F580">
        <v>64</v>
      </c>
      <c r="G580">
        <v>1.3485</v>
      </c>
      <c r="I580" t="s">
        <v>137</v>
      </c>
      <c r="J580">
        <v>755452</v>
      </c>
      <c r="K580">
        <v>757324</v>
      </c>
      <c r="L580" s="3">
        <v>-1</v>
      </c>
      <c r="M580" s="3">
        <v>201</v>
      </c>
    </row>
    <row r="581" spans="3:13" x14ac:dyDescent="0.2">
      <c r="C581">
        <v>1129</v>
      </c>
      <c r="D581">
        <v>38.995058</v>
      </c>
      <c r="E581">
        <v>-77.049632000000003</v>
      </c>
      <c r="F581">
        <v>65</v>
      </c>
      <c r="G581">
        <v>1.3845000000000001</v>
      </c>
      <c r="I581" t="s">
        <v>137</v>
      </c>
      <c r="J581">
        <v>755553</v>
      </c>
      <c r="K581">
        <v>114132</v>
      </c>
      <c r="L581" s="3">
        <v>-1</v>
      </c>
      <c r="M581" s="3">
        <v>201</v>
      </c>
    </row>
    <row r="582" spans="3:13" x14ac:dyDescent="0.2">
      <c r="C582">
        <v>1129</v>
      </c>
      <c r="D582">
        <v>38.994979000000001</v>
      </c>
      <c r="E582">
        <v>-77.049949999999995</v>
      </c>
      <c r="F582">
        <v>66</v>
      </c>
      <c r="G582">
        <v>1.4023000000000001</v>
      </c>
      <c r="I582" t="s">
        <v>137</v>
      </c>
      <c r="J582">
        <v>755553</v>
      </c>
      <c r="K582">
        <v>755554</v>
      </c>
      <c r="L582" s="3">
        <v>-1</v>
      </c>
      <c r="M582" s="3">
        <v>201</v>
      </c>
    </row>
    <row r="583" spans="3:13" x14ac:dyDescent="0.2">
      <c r="C583">
        <v>1129</v>
      </c>
      <c r="D583">
        <v>38.994898999999997</v>
      </c>
      <c r="E583">
        <v>-77.050179999999997</v>
      </c>
      <c r="F583">
        <v>67</v>
      </c>
      <c r="G583">
        <v>1.4157</v>
      </c>
      <c r="I583" t="s">
        <v>137</v>
      </c>
      <c r="J583">
        <v>755554</v>
      </c>
      <c r="K583">
        <v>114142</v>
      </c>
      <c r="L583" s="3">
        <v>-1</v>
      </c>
      <c r="M583" s="3">
        <v>201</v>
      </c>
    </row>
    <row r="584" spans="3:13" x14ac:dyDescent="0.2">
      <c r="C584">
        <v>1129</v>
      </c>
      <c r="D584">
        <v>38.994779000000001</v>
      </c>
      <c r="E584">
        <v>-77.050410999999997</v>
      </c>
      <c r="F584">
        <v>68</v>
      </c>
      <c r="G584">
        <v>1.4305000000000001</v>
      </c>
      <c r="I584" t="s">
        <v>137</v>
      </c>
      <c r="J584">
        <v>755554</v>
      </c>
      <c r="K584">
        <v>755553</v>
      </c>
      <c r="L584" s="3">
        <v>-1</v>
      </c>
      <c r="M584" s="3">
        <v>201</v>
      </c>
    </row>
    <row r="585" spans="3:13" x14ac:dyDescent="0.2">
      <c r="C585">
        <v>1129</v>
      </c>
      <c r="D585">
        <v>38.994669000000002</v>
      </c>
      <c r="E585">
        <v>-77.050593000000006</v>
      </c>
      <c r="F585">
        <v>69</v>
      </c>
      <c r="G585">
        <v>1.4426000000000001</v>
      </c>
      <c r="I585" t="s">
        <v>137</v>
      </c>
      <c r="J585">
        <v>755555</v>
      </c>
      <c r="K585">
        <v>101997</v>
      </c>
      <c r="L585" s="3">
        <v>-1</v>
      </c>
      <c r="M585" s="3">
        <v>201</v>
      </c>
    </row>
    <row r="586" spans="3:13" x14ac:dyDescent="0.2">
      <c r="C586">
        <v>1129</v>
      </c>
      <c r="D586">
        <v>38.994439</v>
      </c>
      <c r="E586">
        <v>-77.050931000000006</v>
      </c>
      <c r="F586">
        <v>70</v>
      </c>
      <c r="G586">
        <v>1.4664999999999999</v>
      </c>
      <c r="I586" t="s">
        <v>137</v>
      </c>
      <c r="J586">
        <v>755555</v>
      </c>
      <c r="K586">
        <v>114146</v>
      </c>
      <c r="L586" s="3">
        <v>-1</v>
      </c>
      <c r="M586" s="3">
        <v>201</v>
      </c>
    </row>
    <row r="587" spans="3:13" x14ac:dyDescent="0.2">
      <c r="C587">
        <v>1129</v>
      </c>
      <c r="D587">
        <v>38.994058000000003</v>
      </c>
      <c r="E587">
        <v>-77.051461000000003</v>
      </c>
      <c r="F587">
        <v>71</v>
      </c>
      <c r="G587">
        <v>1.5048999999999999</v>
      </c>
      <c r="I587" t="s">
        <v>137</v>
      </c>
      <c r="J587">
        <v>755564</v>
      </c>
      <c r="K587">
        <v>114166</v>
      </c>
      <c r="L587" s="3">
        <v>-1</v>
      </c>
      <c r="M587" s="3">
        <v>201</v>
      </c>
    </row>
    <row r="588" spans="3:13" x14ac:dyDescent="0.2">
      <c r="C588">
        <v>1129</v>
      </c>
      <c r="D588">
        <v>38.993926000000002</v>
      </c>
      <c r="E588">
        <v>-77.051666999999995</v>
      </c>
      <c r="F588">
        <v>72</v>
      </c>
      <c r="G588">
        <v>1.5190999999999999</v>
      </c>
      <c r="I588" t="s">
        <v>137</v>
      </c>
      <c r="J588">
        <v>755718</v>
      </c>
      <c r="K588">
        <v>102001</v>
      </c>
      <c r="L588" s="3">
        <v>-1</v>
      </c>
      <c r="M588" s="3">
        <v>201</v>
      </c>
    </row>
    <row r="589" spans="3:13" x14ac:dyDescent="0.2">
      <c r="C589">
        <v>1129</v>
      </c>
      <c r="D589">
        <v>38.993948000000003</v>
      </c>
      <c r="E589">
        <v>-77.051685000000006</v>
      </c>
      <c r="F589">
        <v>73</v>
      </c>
      <c r="G589">
        <v>1.5207999999999999</v>
      </c>
      <c r="I589" t="s">
        <v>137</v>
      </c>
      <c r="J589">
        <v>755723</v>
      </c>
      <c r="K589">
        <v>107641</v>
      </c>
      <c r="L589" s="3">
        <v>-1</v>
      </c>
      <c r="M589" s="3">
        <v>201</v>
      </c>
    </row>
    <row r="590" spans="3:13" x14ac:dyDescent="0.2">
      <c r="C590">
        <v>1129</v>
      </c>
      <c r="D590">
        <v>38.993758999999997</v>
      </c>
      <c r="E590">
        <v>-77.051929999999999</v>
      </c>
      <c r="F590">
        <v>74</v>
      </c>
      <c r="G590">
        <v>1.5391999999999999</v>
      </c>
      <c r="I590" t="s">
        <v>137</v>
      </c>
      <c r="J590">
        <v>755723</v>
      </c>
      <c r="K590">
        <v>755736</v>
      </c>
      <c r="L590" s="3">
        <v>-1</v>
      </c>
      <c r="M590" s="3">
        <v>201</v>
      </c>
    </row>
    <row r="591" spans="3:13" x14ac:dyDescent="0.2">
      <c r="C591">
        <v>1129</v>
      </c>
      <c r="D591">
        <v>38.993783999999998</v>
      </c>
      <c r="E591">
        <v>-77.051964999999996</v>
      </c>
      <c r="F591">
        <v>75</v>
      </c>
      <c r="G591">
        <v>1.5417000000000001</v>
      </c>
      <c r="I591" t="s">
        <v>137</v>
      </c>
      <c r="J591">
        <v>755736</v>
      </c>
      <c r="K591">
        <v>104144</v>
      </c>
      <c r="L591" s="3">
        <v>-1</v>
      </c>
      <c r="M591" s="3">
        <v>201</v>
      </c>
    </row>
    <row r="592" spans="3:13" x14ac:dyDescent="0.2">
      <c r="C592">
        <v>1129</v>
      </c>
      <c r="D592">
        <v>38.993758999999997</v>
      </c>
      <c r="E592">
        <v>-77.051929999999999</v>
      </c>
      <c r="F592">
        <v>76</v>
      </c>
      <c r="G592">
        <v>1.5441</v>
      </c>
      <c r="I592" t="s">
        <v>137</v>
      </c>
      <c r="J592">
        <v>755736</v>
      </c>
      <c r="K592">
        <v>755723</v>
      </c>
      <c r="L592" s="3">
        <v>-1</v>
      </c>
      <c r="M592" s="3">
        <v>201</v>
      </c>
    </row>
    <row r="593" spans="3:13" x14ac:dyDescent="0.2">
      <c r="C593">
        <v>1129</v>
      </c>
      <c r="D593">
        <v>38.993639000000002</v>
      </c>
      <c r="E593">
        <v>-77.052193000000003</v>
      </c>
      <c r="F593">
        <v>77</v>
      </c>
      <c r="G593">
        <v>1.5604</v>
      </c>
      <c r="I593" t="s">
        <v>137</v>
      </c>
      <c r="J593">
        <v>755737</v>
      </c>
      <c r="K593">
        <v>104148</v>
      </c>
      <c r="L593" s="3">
        <v>-1</v>
      </c>
      <c r="M593" s="3">
        <v>201</v>
      </c>
    </row>
    <row r="594" spans="3:13" x14ac:dyDescent="0.2">
      <c r="C594">
        <v>1129</v>
      </c>
      <c r="D594">
        <v>38.993228000000002</v>
      </c>
      <c r="E594">
        <v>-77.053291000000002</v>
      </c>
      <c r="F594">
        <v>78</v>
      </c>
      <c r="G594">
        <v>1.6255999999999999</v>
      </c>
      <c r="I594" t="s">
        <v>137</v>
      </c>
      <c r="J594">
        <v>755737</v>
      </c>
      <c r="K594">
        <v>756033</v>
      </c>
      <c r="L594" s="3">
        <v>-1</v>
      </c>
      <c r="M594" s="3">
        <v>201</v>
      </c>
    </row>
    <row r="595" spans="3:13" x14ac:dyDescent="0.2">
      <c r="C595">
        <v>1129</v>
      </c>
      <c r="D595">
        <v>38.992818999999997</v>
      </c>
      <c r="E595">
        <v>-77.054443000000006</v>
      </c>
      <c r="F595">
        <v>79</v>
      </c>
      <c r="G595">
        <v>1.6932</v>
      </c>
      <c r="I595" t="s">
        <v>137</v>
      </c>
      <c r="J595">
        <v>755738</v>
      </c>
      <c r="K595">
        <v>101749</v>
      </c>
      <c r="L595" s="3">
        <v>-1</v>
      </c>
      <c r="M595" s="3">
        <v>201</v>
      </c>
    </row>
    <row r="596" spans="3:13" x14ac:dyDescent="0.2">
      <c r="C596">
        <v>1129</v>
      </c>
      <c r="D596">
        <v>38.992638999999997</v>
      </c>
      <c r="E596">
        <v>-77.054991999999999</v>
      </c>
      <c r="F596">
        <v>80</v>
      </c>
      <c r="G596">
        <v>1.7250000000000001</v>
      </c>
      <c r="I596" t="s">
        <v>137</v>
      </c>
      <c r="J596">
        <v>755951</v>
      </c>
      <c r="K596">
        <v>756398</v>
      </c>
      <c r="L596" s="3">
        <v>-1</v>
      </c>
      <c r="M596" s="3">
        <v>201</v>
      </c>
    </row>
    <row r="597" spans="3:13" x14ac:dyDescent="0.2">
      <c r="C597">
        <v>1129</v>
      </c>
      <c r="D597">
        <v>38.992567000000001</v>
      </c>
      <c r="E597">
        <v>-77.055289000000002</v>
      </c>
      <c r="F597">
        <v>81</v>
      </c>
      <c r="G597">
        <v>1.7415</v>
      </c>
      <c r="I597" t="s">
        <v>137</v>
      </c>
      <c r="J597">
        <v>756033</v>
      </c>
      <c r="K597">
        <v>104148</v>
      </c>
      <c r="L597" s="3">
        <v>-1</v>
      </c>
      <c r="M597" s="3">
        <v>201</v>
      </c>
    </row>
    <row r="598" spans="3:13" x14ac:dyDescent="0.2">
      <c r="C598">
        <v>1129</v>
      </c>
      <c r="D598">
        <v>38.992584000000001</v>
      </c>
      <c r="E598">
        <v>-77.055291999999994</v>
      </c>
      <c r="F598">
        <v>82</v>
      </c>
      <c r="G598">
        <v>1.7425999999999999</v>
      </c>
      <c r="I598" t="s">
        <v>137</v>
      </c>
      <c r="J598">
        <v>756033</v>
      </c>
      <c r="K598">
        <v>755737</v>
      </c>
      <c r="L598" s="3">
        <v>-1</v>
      </c>
      <c r="M598" s="3">
        <v>201</v>
      </c>
    </row>
    <row r="599" spans="3:13" x14ac:dyDescent="0.2">
      <c r="C599">
        <v>1129</v>
      </c>
      <c r="D599">
        <v>38.992510000000003</v>
      </c>
      <c r="E599">
        <v>-77.055543</v>
      </c>
      <c r="F599">
        <v>83</v>
      </c>
      <c r="G599">
        <v>1.7567999999999999</v>
      </c>
      <c r="I599" t="s">
        <v>137</v>
      </c>
      <c r="J599">
        <v>756398</v>
      </c>
      <c r="K599">
        <v>102010</v>
      </c>
      <c r="L599" s="3">
        <v>-1</v>
      </c>
      <c r="M599" s="3">
        <v>201</v>
      </c>
    </row>
    <row r="600" spans="3:13" x14ac:dyDescent="0.2">
      <c r="C600">
        <v>1129</v>
      </c>
      <c r="D600">
        <v>38.992438</v>
      </c>
      <c r="E600">
        <v>-77.055833000000007</v>
      </c>
      <c r="F600">
        <v>84</v>
      </c>
      <c r="G600">
        <v>1.7730999999999999</v>
      </c>
      <c r="I600" t="s">
        <v>137</v>
      </c>
      <c r="J600">
        <v>756410</v>
      </c>
      <c r="K600">
        <v>101745</v>
      </c>
      <c r="L600" s="3">
        <v>-1</v>
      </c>
      <c r="M600" s="3">
        <v>201</v>
      </c>
    </row>
    <row r="601" spans="3:13" x14ac:dyDescent="0.2">
      <c r="C601">
        <v>1129</v>
      </c>
      <c r="D601">
        <v>38.992263000000001</v>
      </c>
      <c r="E601">
        <v>-77.057951000000003</v>
      </c>
      <c r="F601">
        <v>85</v>
      </c>
      <c r="G601">
        <v>1.8873</v>
      </c>
      <c r="I601" t="s">
        <v>137</v>
      </c>
      <c r="J601">
        <v>757324</v>
      </c>
      <c r="K601">
        <v>104148</v>
      </c>
      <c r="L601" s="3">
        <v>-1</v>
      </c>
      <c r="M601" s="3">
        <v>201</v>
      </c>
    </row>
    <row r="602" spans="3:13" x14ac:dyDescent="0.2">
      <c r="C602">
        <v>1129</v>
      </c>
      <c r="D602">
        <v>38.992292999999997</v>
      </c>
      <c r="E602">
        <v>-77.057953999999995</v>
      </c>
      <c r="F602">
        <v>86</v>
      </c>
      <c r="G602">
        <v>1.8894</v>
      </c>
      <c r="I602" t="s">
        <v>137</v>
      </c>
      <c r="J602">
        <v>757324</v>
      </c>
      <c r="K602">
        <v>755452</v>
      </c>
      <c r="L602" s="3">
        <v>-1</v>
      </c>
      <c r="M602" s="3">
        <v>201</v>
      </c>
    </row>
    <row r="603" spans="3:13" x14ac:dyDescent="0.2">
      <c r="C603">
        <v>1129</v>
      </c>
      <c r="D603">
        <v>38.992258</v>
      </c>
      <c r="E603">
        <v>-77.058031999999997</v>
      </c>
      <c r="F603">
        <v>87</v>
      </c>
      <c r="G603">
        <v>1.8940999999999999</v>
      </c>
      <c r="I603" t="s">
        <v>137</v>
      </c>
      <c r="J603">
        <v>757402</v>
      </c>
      <c r="K603">
        <v>230013</v>
      </c>
      <c r="L603" s="3">
        <v>-1</v>
      </c>
      <c r="M603" s="3">
        <v>201</v>
      </c>
    </row>
    <row r="604" spans="3:13" x14ac:dyDescent="0.2">
      <c r="C604">
        <v>1129</v>
      </c>
      <c r="D604">
        <v>38.992249000000001</v>
      </c>
      <c r="E604">
        <v>-77.058173999999994</v>
      </c>
      <c r="F604">
        <v>88</v>
      </c>
      <c r="G604">
        <v>1.9016999999999999</v>
      </c>
      <c r="I604" t="s">
        <v>137</v>
      </c>
      <c r="J604">
        <v>100337</v>
      </c>
      <c r="K604">
        <v>754833</v>
      </c>
      <c r="L604" s="3">
        <v>-1</v>
      </c>
      <c r="M604" s="3">
        <v>300</v>
      </c>
    </row>
    <row r="605" spans="3:13" x14ac:dyDescent="0.2">
      <c r="C605">
        <v>1129</v>
      </c>
      <c r="D605">
        <v>38.992249000000001</v>
      </c>
      <c r="E605">
        <v>-77.058632000000003</v>
      </c>
      <c r="F605">
        <v>89</v>
      </c>
      <c r="G605">
        <v>1.9262999999999999</v>
      </c>
      <c r="I605" t="s">
        <v>137</v>
      </c>
      <c r="J605">
        <v>100339</v>
      </c>
      <c r="K605">
        <v>100340</v>
      </c>
      <c r="L605" s="3">
        <v>-1</v>
      </c>
      <c r="M605" s="3">
        <v>300</v>
      </c>
    </row>
    <row r="606" spans="3:13" x14ac:dyDescent="0.2">
      <c r="C606">
        <v>1129</v>
      </c>
      <c r="D606">
        <v>38.992258</v>
      </c>
      <c r="E606">
        <v>-77.058881999999997</v>
      </c>
      <c r="F606">
        <v>90</v>
      </c>
      <c r="G606">
        <v>1.9398</v>
      </c>
      <c r="I606" t="s">
        <v>137</v>
      </c>
      <c r="J606">
        <v>100339</v>
      </c>
      <c r="K606">
        <v>754833</v>
      </c>
      <c r="L606" s="3">
        <v>-1</v>
      </c>
      <c r="M606" s="3">
        <v>300</v>
      </c>
    </row>
    <row r="607" spans="3:13" x14ac:dyDescent="0.2">
      <c r="C607">
        <v>1129</v>
      </c>
      <c r="D607">
        <v>38.992288000000002</v>
      </c>
      <c r="E607">
        <v>-77.059213</v>
      </c>
      <c r="F607">
        <v>91</v>
      </c>
      <c r="G607">
        <v>1.9576</v>
      </c>
      <c r="I607" t="s">
        <v>137</v>
      </c>
      <c r="J607">
        <v>100340</v>
      </c>
      <c r="K607">
        <v>100339</v>
      </c>
      <c r="L607" s="3">
        <v>-1</v>
      </c>
      <c r="M607" s="3">
        <v>300</v>
      </c>
    </row>
    <row r="608" spans="3:13" x14ac:dyDescent="0.2">
      <c r="C608">
        <v>1129</v>
      </c>
      <c r="D608">
        <v>38.992339999999999</v>
      </c>
      <c r="E608">
        <v>-77.059522999999999</v>
      </c>
      <c r="F608">
        <v>92</v>
      </c>
      <c r="G608">
        <v>1.9745999999999999</v>
      </c>
      <c r="I608" t="s">
        <v>137</v>
      </c>
      <c r="J608">
        <v>100340</v>
      </c>
      <c r="K608">
        <v>100960</v>
      </c>
      <c r="L608" s="3">
        <v>-1</v>
      </c>
      <c r="M608" s="3">
        <v>300</v>
      </c>
    </row>
    <row r="609" spans="3:13" x14ac:dyDescent="0.2">
      <c r="C609">
        <v>1129</v>
      </c>
      <c r="D609">
        <v>38.992449000000001</v>
      </c>
      <c r="E609">
        <v>-77.060091999999997</v>
      </c>
      <c r="F609">
        <v>93</v>
      </c>
      <c r="G609">
        <v>2.0061</v>
      </c>
      <c r="I609" t="s">
        <v>137</v>
      </c>
      <c r="J609">
        <v>100340</v>
      </c>
      <c r="K609">
        <v>757494</v>
      </c>
      <c r="L609" s="3">
        <v>-1</v>
      </c>
      <c r="M609" s="3">
        <v>300</v>
      </c>
    </row>
    <row r="610" spans="3:13" x14ac:dyDescent="0.2">
      <c r="C610">
        <v>1129</v>
      </c>
      <c r="D610">
        <v>38.992502000000002</v>
      </c>
      <c r="E610">
        <v>-77.060323999999994</v>
      </c>
      <c r="F610">
        <v>94</v>
      </c>
      <c r="G610">
        <v>2.0188999999999999</v>
      </c>
      <c r="I610" t="s">
        <v>137</v>
      </c>
      <c r="J610">
        <v>100342</v>
      </c>
      <c r="K610">
        <v>100344</v>
      </c>
      <c r="L610" s="3">
        <v>-1</v>
      </c>
      <c r="M610" s="3">
        <v>300</v>
      </c>
    </row>
    <row r="611" spans="3:13" x14ac:dyDescent="0.2">
      <c r="C611">
        <v>1129</v>
      </c>
      <c r="D611">
        <v>38.992547999999999</v>
      </c>
      <c r="E611">
        <v>-77.060305999999997</v>
      </c>
      <c r="F611">
        <v>95</v>
      </c>
      <c r="G611">
        <v>2.0222000000000002</v>
      </c>
      <c r="I611" t="s">
        <v>137</v>
      </c>
      <c r="J611">
        <v>100342</v>
      </c>
      <c r="K611">
        <v>104513</v>
      </c>
      <c r="L611" s="3">
        <v>-1</v>
      </c>
      <c r="M611" s="3">
        <v>300</v>
      </c>
    </row>
    <row r="612" spans="3:13" x14ac:dyDescent="0.2">
      <c r="C612">
        <v>1129</v>
      </c>
      <c r="D612">
        <v>38.992559</v>
      </c>
      <c r="E612">
        <v>-77.060563000000002</v>
      </c>
      <c r="F612">
        <v>96</v>
      </c>
      <c r="G612">
        <v>2.036</v>
      </c>
      <c r="I612" t="s">
        <v>137</v>
      </c>
      <c r="J612">
        <v>100342</v>
      </c>
      <c r="K612">
        <v>757471</v>
      </c>
      <c r="L612" s="3">
        <v>-1</v>
      </c>
      <c r="M612" s="3">
        <v>300</v>
      </c>
    </row>
    <row r="613" spans="3:13" x14ac:dyDescent="0.2">
      <c r="C613">
        <v>1129</v>
      </c>
      <c r="D613">
        <v>38.992597000000004</v>
      </c>
      <c r="E613">
        <v>-77.060781000000006</v>
      </c>
      <c r="F613">
        <v>97</v>
      </c>
      <c r="G613">
        <v>2.0478999999999998</v>
      </c>
      <c r="I613" t="s">
        <v>137</v>
      </c>
      <c r="J613">
        <v>100342</v>
      </c>
      <c r="K613">
        <v>757494</v>
      </c>
      <c r="L613" s="3">
        <v>-1</v>
      </c>
      <c r="M613" s="3">
        <v>300</v>
      </c>
    </row>
    <row r="614" spans="3:13" x14ac:dyDescent="0.2">
      <c r="C614">
        <v>1129</v>
      </c>
      <c r="D614">
        <v>38.992910000000002</v>
      </c>
      <c r="E614">
        <v>-77.062071000000003</v>
      </c>
      <c r="F614">
        <v>98</v>
      </c>
      <c r="G614">
        <v>2.1206</v>
      </c>
      <c r="I614" t="s">
        <v>137</v>
      </c>
      <c r="J614">
        <v>100344</v>
      </c>
      <c r="K614">
        <v>100342</v>
      </c>
      <c r="L614" s="3">
        <v>-1</v>
      </c>
      <c r="M614" s="3">
        <v>300</v>
      </c>
    </row>
    <row r="615" spans="3:13" x14ac:dyDescent="0.2">
      <c r="C615">
        <v>1129</v>
      </c>
      <c r="D615">
        <v>38.992958999999999</v>
      </c>
      <c r="E615">
        <v>-77.062303</v>
      </c>
      <c r="F615">
        <v>99</v>
      </c>
      <c r="G615">
        <v>2.1335000000000002</v>
      </c>
      <c r="I615" t="s">
        <v>137</v>
      </c>
      <c r="J615">
        <v>100344</v>
      </c>
      <c r="K615">
        <v>100345</v>
      </c>
      <c r="L615" s="3">
        <v>-1</v>
      </c>
      <c r="M615" s="3">
        <v>300</v>
      </c>
    </row>
    <row r="616" spans="3:13" x14ac:dyDescent="0.2">
      <c r="C616">
        <v>1129</v>
      </c>
      <c r="D616">
        <v>38.993167</v>
      </c>
      <c r="E616">
        <v>-77.063170999999997</v>
      </c>
      <c r="F616">
        <v>100</v>
      </c>
      <c r="G616">
        <v>2.1823999999999999</v>
      </c>
      <c r="I616" t="s">
        <v>137</v>
      </c>
      <c r="J616">
        <v>100344</v>
      </c>
      <c r="K616">
        <v>104510</v>
      </c>
      <c r="L616" s="3">
        <v>-1</v>
      </c>
      <c r="M616" s="3">
        <v>300</v>
      </c>
    </row>
    <row r="617" spans="3:13" x14ac:dyDescent="0.2">
      <c r="C617">
        <v>1129</v>
      </c>
      <c r="D617">
        <v>38.993228000000002</v>
      </c>
      <c r="E617">
        <v>-77.06353</v>
      </c>
      <c r="F617">
        <v>101</v>
      </c>
      <c r="G617">
        <v>2.2021000000000002</v>
      </c>
      <c r="I617" t="s">
        <v>137</v>
      </c>
      <c r="J617">
        <v>100345</v>
      </c>
      <c r="K617">
        <v>100344</v>
      </c>
      <c r="L617" s="3">
        <v>-1</v>
      </c>
      <c r="M617" s="3">
        <v>300</v>
      </c>
    </row>
    <row r="618" spans="3:13" x14ac:dyDescent="0.2">
      <c r="C618">
        <v>1129</v>
      </c>
      <c r="D618">
        <v>38.993239000000003</v>
      </c>
      <c r="E618">
        <v>-77.064080000000004</v>
      </c>
      <c r="F618">
        <v>102</v>
      </c>
      <c r="G618">
        <v>2.2315999999999998</v>
      </c>
      <c r="I618" t="s">
        <v>137</v>
      </c>
      <c r="J618">
        <v>100345</v>
      </c>
      <c r="K618">
        <v>100428</v>
      </c>
      <c r="L618" s="3">
        <v>-1</v>
      </c>
      <c r="M618" s="3">
        <v>300</v>
      </c>
    </row>
    <row r="619" spans="3:13" x14ac:dyDescent="0.2">
      <c r="C619">
        <v>1129</v>
      </c>
      <c r="D619">
        <v>38.993222000000003</v>
      </c>
      <c r="E619">
        <v>-77.064291999999995</v>
      </c>
      <c r="F619">
        <v>103</v>
      </c>
      <c r="G619">
        <v>2.2429999999999999</v>
      </c>
      <c r="I619" t="s">
        <v>137</v>
      </c>
      <c r="J619">
        <v>100345</v>
      </c>
      <c r="K619">
        <v>757453</v>
      </c>
      <c r="L619" s="3">
        <v>-1</v>
      </c>
      <c r="M619" s="3">
        <v>300</v>
      </c>
    </row>
    <row r="620" spans="3:13" x14ac:dyDescent="0.2">
      <c r="C620">
        <v>1129</v>
      </c>
      <c r="D620">
        <v>38.993326000000003</v>
      </c>
      <c r="E620">
        <v>-77.064301</v>
      </c>
      <c r="F620">
        <v>104</v>
      </c>
      <c r="G620">
        <v>2.2502</v>
      </c>
      <c r="I620" t="s">
        <v>137</v>
      </c>
      <c r="J620">
        <v>100347</v>
      </c>
      <c r="K620">
        <v>757449</v>
      </c>
      <c r="L620" s="3">
        <v>-1</v>
      </c>
      <c r="M620" s="3">
        <v>300</v>
      </c>
    </row>
    <row r="621" spans="3:13" x14ac:dyDescent="0.2">
      <c r="C621">
        <v>1129</v>
      </c>
      <c r="D621">
        <v>38.993209</v>
      </c>
      <c r="E621">
        <v>-77.064492999999999</v>
      </c>
      <c r="F621">
        <v>105</v>
      </c>
      <c r="G621">
        <v>2.2633000000000001</v>
      </c>
      <c r="I621" t="s">
        <v>137</v>
      </c>
      <c r="J621">
        <v>100347</v>
      </c>
      <c r="K621">
        <v>757451</v>
      </c>
      <c r="L621" s="3">
        <v>-1</v>
      </c>
      <c r="M621" s="3">
        <v>300</v>
      </c>
    </row>
    <row r="622" spans="3:13" x14ac:dyDescent="0.2">
      <c r="C622">
        <v>1129</v>
      </c>
      <c r="D622">
        <v>38.993088</v>
      </c>
      <c r="E622">
        <v>-77.065061999999998</v>
      </c>
      <c r="F622">
        <v>106</v>
      </c>
      <c r="G622">
        <v>2.2947000000000002</v>
      </c>
      <c r="I622" t="s">
        <v>137</v>
      </c>
      <c r="J622">
        <v>100347</v>
      </c>
      <c r="K622">
        <v>757458</v>
      </c>
      <c r="L622" s="3">
        <v>-1</v>
      </c>
      <c r="M622" s="3">
        <v>300</v>
      </c>
    </row>
    <row r="623" spans="3:13" x14ac:dyDescent="0.2">
      <c r="C623">
        <v>1129</v>
      </c>
      <c r="D623">
        <v>38.992998</v>
      </c>
      <c r="E623">
        <v>-77.065430000000006</v>
      </c>
      <c r="F623">
        <v>107</v>
      </c>
      <c r="G623">
        <v>2.3153000000000001</v>
      </c>
      <c r="I623" t="s">
        <v>137</v>
      </c>
      <c r="J623">
        <v>100348</v>
      </c>
      <c r="K623">
        <v>100349</v>
      </c>
      <c r="L623" s="3">
        <v>-1</v>
      </c>
      <c r="M623" s="3">
        <v>300</v>
      </c>
    </row>
    <row r="624" spans="3:13" x14ac:dyDescent="0.2">
      <c r="C624">
        <v>1129</v>
      </c>
      <c r="D624">
        <v>38.992868999999999</v>
      </c>
      <c r="E624">
        <v>-77.065813000000006</v>
      </c>
      <c r="F624">
        <v>108</v>
      </c>
      <c r="G624">
        <v>2.3374999999999999</v>
      </c>
      <c r="I624" t="s">
        <v>137</v>
      </c>
      <c r="J624">
        <v>100348</v>
      </c>
      <c r="K624">
        <v>102384</v>
      </c>
      <c r="L624" s="3">
        <v>-1</v>
      </c>
      <c r="M624" s="3">
        <v>300</v>
      </c>
    </row>
    <row r="625" spans="3:13" x14ac:dyDescent="0.2">
      <c r="C625">
        <v>1129</v>
      </c>
      <c r="D625">
        <v>38.992688000000001</v>
      </c>
      <c r="E625">
        <v>-77.066242000000003</v>
      </c>
      <c r="F625">
        <v>109</v>
      </c>
      <c r="G625">
        <v>2.3633999999999999</v>
      </c>
      <c r="I625" t="s">
        <v>137</v>
      </c>
      <c r="J625">
        <v>100348</v>
      </c>
      <c r="K625">
        <v>756460</v>
      </c>
      <c r="L625" s="3">
        <v>-1</v>
      </c>
      <c r="M625" s="3">
        <v>300</v>
      </c>
    </row>
    <row r="626" spans="3:13" x14ac:dyDescent="0.2">
      <c r="C626">
        <v>1129</v>
      </c>
      <c r="D626">
        <v>38.992407999999998</v>
      </c>
      <c r="E626">
        <v>-77.066801999999996</v>
      </c>
      <c r="F626">
        <v>110</v>
      </c>
      <c r="G626">
        <v>2.3990999999999998</v>
      </c>
      <c r="I626" t="s">
        <v>137</v>
      </c>
      <c r="J626">
        <v>100349</v>
      </c>
      <c r="K626">
        <v>100348</v>
      </c>
      <c r="L626" s="3">
        <v>-1</v>
      </c>
      <c r="M626" s="3">
        <v>300</v>
      </c>
    </row>
    <row r="627" spans="3:13" x14ac:dyDescent="0.2">
      <c r="C627">
        <v>1129</v>
      </c>
      <c r="D627">
        <v>38.992159000000001</v>
      </c>
      <c r="E627">
        <v>-77.067243000000005</v>
      </c>
      <c r="F627">
        <v>111</v>
      </c>
      <c r="G627">
        <v>2.4279999999999999</v>
      </c>
      <c r="I627" t="s">
        <v>137</v>
      </c>
      <c r="J627">
        <v>100349</v>
      </c>
      <c r="K627">
        <v>100350</v>
      </c>
      <c r="L627" s="3">
        <v>-1</v>
      </c>
      <c r="M627" s="3">
        <v>300</v>
      </c>
    </row>
    <row r="628" spans="3:13" x14ac:dyDescent="0.2">
      <c r="C628">
        <v>1129</v>
      </c>
      <c r="D628">
        <v>38.991658000000001</v>
      </c>
      <c r="E628">
        <v>-77.068190999999999</v>
      </c>
      <c r="F628">
        <v>112</v>
      </c>
      <c r="G628">
        <v>2.4891999999999999</v>
      </c>
      <c r="I628" t="s">
        <v>137</v>
      </c>
      <c r="J628">
        <v>100350</v>
      </c>
      <c r="K628">
        <v>100349</v>
      </c>
      <c r="L628" s="3">
        <v>-1</v>
      </c>
      <c r="M628" s="3">
        <v>300</v>
      </c>
    </row>
    <row r="629" spans="3:13" x14ac:dyDescent="0.2">
      <c r="C629">
        <v>1129</v>
      </c>
      <c r="D629">
        <v>38.991449000000003</v>
      </c>
      <c r="E629">
        <v>-77.068521000000004</v>
      </c>
      <c r="F629">
        <v>113</v>
      </c>
      <c r="G629">
        <v>2.5118999999999998</v>
      </c>
      <c r="I629" t="s">
        <v>137</v>
      </c>
      <c r="J629">
        <v>100350</v>
      </c>
      <c r="K629">
        <v>101750</v>
      </c>
      <c r="L629" s="3">
        <v>-1</v>
      </c>
      <c r="M629" s="3">
        <v>300</v>
      </c>
    </row>
    <row r="630" spans="3:13" x14ac:dyDescent="0.2">
      <c r="C630">
        <v>1129</v>
      </c>
      <c r="D630">
        <v>38.991169999999997</v>
      </c>
      <c r="E630">
        <v>-77.068892000000005</v>
      </c>
      <c r="F630">
        <v>114</v>
      </c>
      <c r="G630">
        <v>2.5394000000000001</v>
      </c>
      <c r="I630" t="s">
        <v>137</v>
      </c>
      <c r="J630">
        <v>100428</v>
      </c>
      <c r="K630">
        <v>100345</v>
      </c>
      <c r="L630" s="3">
        <v>-1</v>
      </c>
      <c r="M630" s="3">
        <v>300</v>
      </c>
    </row>
    <row r="631" spans="3:13" x14ac:dyDescent="0.2">
      <c r="C631">
        <v>1129</v>
      </c>
      <c r="D631">
        <v>38.991249000000003</v>
      </c>
      <c r="E631">
        <v>-77.069018</v>
      </c>
      <c r="F631">
        <v>115</v>
      </c>
      <c r="G631">
        <v>2.5480999999999998</v>
      </c>
      <c r="I631" t="s">
        <v>137</v>
      </c>
      <c r="J631">
        <v>100428</v>
      </c>
      <c r="K631">
        <v>101750</v>
      </c>
      <c r="L631" s="3">
        <v>-1</v>
      </c>
      <c r="M631" s="3">
        <v>300</v>
      </c>
    </row>
    <row r="632" spans="3:13" x14ac:dyDescent="0.2">
      <c r="C632">
        <v>1129</v>
      </c>
      <c r="D632">
        <v>38.991342000000003</v>
      </c>
      <c r="E632">
        <v>-77.068917999999996</v>
      </c>
      <c r="F632">
        <v>116</v>
      </c>
      <c r="G632">
        <v>2.5564</v>
      </c>
      <c r="I632" t="s">
        <v>137</v>
      </c>
      <c r="J632">
        <v>100465</v>
      </c>
      <c r="K632">
        <v>102386</v>
      </c>
      <c r="L632" s="3">
        <v>-1</v>
      </c>
      <c r="M632" s="3">
        <v>300</v>
      </c>
    </row>
    <row r="633" spans="3:13" x14ac:dyDescent="0.2">
      <c r="C633">
        <v>1129</v>
      </c>
      <c r="D633">
        <v>38.991169999999997</v>
      </c>
      <c r="E633">
        <v>-77.068892000000005</v>
      </c>
      <c r="F633">
        <v>117</v>
      </c>
      <c r="G633">
        <v>2.5684</v>
      </c>
      <c r="I633" t="s">
        <v>137</v>
      </c>
      <c r="J633">
        <v>100465</v>
      </c>
      <c r="K633">
        <v>757458</v>
      </c>
      <c r="L633" s="3">
        <v>-1</v>
      </c>
      <c r="M633" s="3">
        <v>300</v>
      </c>
    </row>
    <row r="634" spans="3:13" x14ac:dyDescent="0.2">
      <c r="C634">
        <v>1129</v>
      </c>
      <c r="D634">
        <v>38.990879</v>
      </c>
      <c r="E634">
        <v>-77.069111000000007</v>
      </c>
      <c r="F634">
        <v>118</v>
      </c>
      <c r="G634">
        <v>2.5914999999999999</v>
      </c>
      <c r="I634" t="s">
        <v>137</v>
      </c>
      <c r="J634">
        <v>100960</v>
      </c>
      <c r="K634">
        <v>100961</v>
      </c>
      <c r="L634" s="3">
        <v>-1</v>
      </c>
      <c r="M634" s="3">
        <v>300</v>
      </c>
    </row>
    <row r="635" spans="3:13" x14ac:dyDescent="0.2">
      <c r="C635">
        <v>1129</v>
      </c>
      <c r="D635">
        <v>38.989958999999999</v>
      </c>
      <c r="E635">
        <v>-77.069721999999999</v>
      </c>
      <c r="F635">
        <v>119</v>
      </c>
      <c r="G635">
        <v>2.6627000000000001</v>
      </c>
      <c r="I635" t="s">
        <v>137</v>
      </c>
      <c r="J635">
        <v>100960</v>
      </c>
      <c r="K635">
        <v>757299</v>
      </c>
      <c r="L635" s="3">
        <v>-1</v>
      </c>
      <c r="M635" s="3">
        <v>300</v>
      </c>
    </row>
    <row r="636" spans="3:13" x14ac:dyDescent="0.2">
      <c r="C636">
        <v>1129</v>
      </c>
      <c r="D636">
        <v>38.989865000000002</v>
      </c>
      <c r="E636">
        <v>-77.069787000000005</v>
      </c>
      <c r="F636">
        <v>120</v>
      </c>
      <c r="G636">
        <v>2.6699000000000002</v>
      </c>
      <c r="I636" t="s">
        <v>137</v>
      </c>
      <c r="J636">
        <v>100960</v>
      </c>
      <c r="K636">
        <v>757471</v>
      </c>
      <c r="L636" s="3">
        <v>-1</v>
      </c>
      <c r="M636" s="3">
        <v>300</v>
      </c>
    </row>
    <row r="637" spans="3:13" x14ac:dyDescent="0.2">
      <c r="C637">
        <v>1129</v>
      </c>
      <c r="D637">
        <v>38.989882000000001</v>
      </c>
      <c r="E637">
        <v>-77.069817999999998</v>
      </c>
      <c r="F637">
        <v>121</v>
      </c>
      <c r="G637">
        <v>2.6718000000000002</v>
      </c>
      <c r="I637" t="s">
        <v>137</v>
      </c>
      <c r="J637">
        <v>100961</v>
      </c>
      <c r="K637">
        <v>100960</v>
      </c>
      <c r="L637" s="3">
        <v>-1</v>
      </c>
      <c r="M637" s="3">
        <v>300</v>
      </c>
    </row>
    <row r="638" spans="3:13" x14ac:dyDescent="0.2">
      <c r="C638">
        <v>1129</v>
      </c>
      <c r="D638">
        <v>38.989558000000002</v>
      </c>
      <c r="E638">
        <v>-77.069991999999999</v>
      </c>
      <c r="F638">
        <v>122</v>
      </c>
      <c r="G638">
        <v>2.6958000000000002</v>
      </c>
      <c r="I638" t="s">
        <v>137</v>
      </c>
      <c r="J638">
        <v>100961</v>
      </c>
      <c r="K638">
        <v>100963</v>
      </c>
      <c r="L638" s="3">
        <v>-1</v>
      </c>
      <c r="M638" s="3">
        <v>300</v>
      </c>
    </row>
    <row r="639" spans="3:13" x14ac:dyDescent="0.2">
      <c r="C639">
        <v>1129</v>
      </c>
      <c r="D639">
        <v>38.989369000000003</v>
      </c>
      <c r="E639">
        <v>-77.070192000000006</v>
      </c>
      <c r="F639">
        <v>123</v>
      </c>
      <c r="G639">
        <v>2.7124999999999999</v>
      </c>
      <c r="I639" t="s">
        <v>137</v>
      </c>
      <c r="J639">
        <v>100963</v>
      </c>
      <c r="K639">
        <v>100961</v>
      </c>
      <c r="L639" s="3">
        <v>-1</v>
      </c>
      <c r="M639" s="3">
        <v>300</v>
      </c>
    </row>
    <row r="640" spans="3:13" x14ac:dyDescent="0.2">
      <c r="C640">
        <v>1129</v>
      </c>
      <c r="D640">
        <v>38.989260000000002</v>
      </c>
      <c r="E640">
        <v>-77.070362000000003</v>
      </c>
      <c r="F640">
        <v>124</v>
      </c>
      <c r="G640">
        <v>2.7242000000000002</v>
      </c>
      <c r="I640" t="s">
        <v>137</v>
      </c>
      <c r="J640">
        <v>100963</v>
      </c>
      <c r="K640">
        <v>756323</v>
      </c>
      <c r="L640" s="3">
        <v>-1</v>
      </c>
      <c r="M640" s="3">
        <v>300</v>
      </c>
    </row>
    <row r="641" spans="3:13" x14ac:dyDescent="0.2">
      <c r="C641">
        <v>1129</v>
      </c>
      <c r="D641">
        <v>38.989158000000003</v>
      </c>
      <c r="E641">
        <v>-77.070603000000006</v>
      </c>
      <c r="F641">
        <v>125</v>
      </c>
      <c r="G641">
        <v>2.7387999999999999</v>
      </c>
      <c r="I641" t="s">
        <v>137</v>
      </c>
      <c r="J641">
        <v>100964</v>
      </c>
      <c r="K641">
        <v>108166</v>
      </c>
      <c r="L641" s="3">
        <v>-1</v>
      </c>
      <c r="M641" s="3">
        <v>300</v>
      </c>
    </row>
    <row r="642" spans="3:13" x14ac:dyDescent="0.2">
      <c r="C642">
        <v>1129</v>
      </c>
      <c r="D642">
        <v>38.989060000000002</v>
      </c>
      <c r="E642">
        <v>-77.071010000000001</v>
      </c>
      <c r="F642">
        <v>126</v>
      </c>
      <c r="G642">
        <v>2.7616000000000001</v>
      </c>
      <c r="I642" t="s">
        <v>137</v>
      </c>
      <c r="J642">
        <v>100964</v>
      </c>
      <c r="K642">
        <v>755622</v>
      </c>
      <c r="L642" s="3">
        <v>-1</v>
      </c>
      <c r="M642" s="3">
        <v>300</v>
      </c>
    </row>
    <row r="643" spans="3:13" x14ac:dyDescent="0.2">
      <c r="C643">
        <v>1129</v>
      </c>
      <c r="D643">
        <v>38.988878999999997</v>
      </c>
      <c r="E643">
        <v>-77.071911</v>
      </c>
      <c r="F643">
        <v>127</v>
      </c>
      <c r="G643">
        <v>2.8113999999999999</v>
      </c>
      <c r="I643" t="s">
        <v>137</v>
      </c>
      <c r="J643">
        <v>100964</v>
      </c>
      <c r="K643">
        <v>756323</v>
      </c>
      <c r="L643" s="3">
        <v>-1</v>
      </c>
      <c r="M643" s="3">
        <v>300</v>
      </c>
    </row>
    <row r="644" spans="3:13" x14ac:dyDescent="0.2">
      <c r="C644">
        <v>1129</v>
      </c>
      <c r="D644">
        <v>38.988807999999999</v>
      </c>
      <c r="E644">
        <v>-77.072310999999999</v>
      </c>
      <c r="F644">
        <v>128</v>
      </c>
      <c r="G644">
        <v>2.8331</v>
      </c>
      <c r="I644" t="s">
        <v>137</v>
      </c>
      <c r="J644">
        <v>101750</v>
      </c>
      <c r="K644">
        <v>100350</v>
      </c>
      <c r="L644" s="3">
        <v>-1</v>
      </c>
      <c r="M644" s="3">
        <v>300</v>
      </c>
    </row>
    <row r="645" spans="3:13" x14ac:dyDescent="0.2">
      <c r="C645">
        <v>1129</v>
      </c>
      <c r="D645">
        <v>38.988607999999999</v>
      </c>
      <c r="E645">
        <v>-77.073539999999994</v>
      </c>
      <c r="F645">
        <v>129</v>
      </c>
      <c r="G645">
        <v>2.9003999999999999</v>
      </c>
      <c r="I645" t="s">
        <v>137</v>
      </c>
      <c r="J645">
        <v>101750</v>
      </c>
      <c r="K645">
        <v>100428</v>
      </c>
      <c r="L645" s="3">
        <v>-1</v>
      </c>
      <c r="M645" s="3">
        <v>300</v>
      </c>
    </row>
    <row r="646" spans="3:13" x14ac:dyDescent="0.2">
      <c r="C646">
        <v>1129</v>
      </c>
      <c r="D646">
        <v>38.988568999999998</v>
      </c>
      <c r="E646">
        <v>-77.073763</v>
      </c>
      <c r="F646">
        <v>130</v>
      </c>
      <c r="G646">
        <v>2.9125000000000001</v>
      </c>
      <c r="I646" t="s">
        <v>137</v>
      </c>
      <c r="J646">
        <v>102384</v>
      </c>
      <c r="K646">
        <v>100348</v>
      </c>
      <c r="L646" s="3">
        <v>-1</v>
      </c>
      <c r="M646" s="3">
        <v>300</v>
      </c>
    </row>
    <row r="647" spans="3:13" x14ac:dyDescent="0.2">
      <c r="C647">
        <v>1129</v>
      </c>
      <c r="D647">
        <v>38.988630000000001</v>
      </c>
      <c r="E647">
        <v>-77.073775999999995</v>
      </c>
      <c r="F647">
        <v>131</v>
      </c>
      <c r="G647">
        <v>2.9167000000000001</v>
      </c>
      <c r="I647" t="s">
        <v>137</v>
      </c>
      <c r="J647">
        <v>102384</v>
      </c>
      <c r="K647">
        <v>756225</v>
      </c>
      <c r="L647" s="3">
        <v>-1</v>
      </c>
      <c r="M647" s="3">
        <v>300</v>
      </c>
    </row>
    <row r="648" spans="3:13" x14ac:dyDescent="0.2">
      <c r="C648">
        <v>1129</v>
      </c>
      <c r="D648">
        <v>38.988509000000001</v>
      </c>
      <c r="E648">
        <v>-77.074151000000001</v>
      </c>
      <c r="F648">
        <v>132</v>
      </c>
      <c r="G648">
        <v>2.9382999999999999</v>
      </c>
      <c r="I648" t="s">
        <v>137</v>
      </c>
      <c r="J648">
        <v>102386</v>
      </c>
      <c r="K648">
        <v>100465</v>
      </c>
      <c r="L648" s="3">
        <v>-1</v>
      </c>
      <c r="M648" s="3">
        <v>300</v>
      </c>
    </row>
    <row r="649" spans="3:13" x14ac:dyDescent="0.2">
      <c r="C649">
        <v>1129</v>
      </c>
      <c r="D649">
        <v>38.988377</v>
      </c>
      <c r="E649">
        <v>-77.075123000000005</v>
      </c>
      <c r="F649">
        <v>133</v>
      </c>
      <c r="G649">
        <v>2.9910999999999999</v>
      </c>
      <c r="I649" t="s">
        <v>137</v>
      </c>
      <c r="J649">
        <v>102386</v>
      </c>
      <c r="K649">
        <v>102389</v>
      </c>
      <c r="L649" s="3">
        <v>-1</v>
      </c>
      <c r="M649" s="3">
        <v>300</v>
      </c>
    </row>
    <row r="650" spans="3:13" x14ac:dyDescent="0.2">
      <c r="C650">
        <v>1129</v>
      </c>
      <c r="D650">
        <v>38.988328000000003</v>
      </c>
      <c r="E650">
        <v>-77.075310000000002</v>
      </c>
      <c r="F650">
        <v>134</v>
      </c>
      <c r="G650">
        <v>3.0015000000000001</v>
      </c>
      <c r="I650" t="s">
        <v>137</v>
      </c>
      <c r="J650">
        <v>102386</v>
      </c>
      <c r="K650">
        <v>104942</v>
      </c>
      <c r="L650" s="3">
        <v>-1</v>
      </c>
      <c r="M650" s="3">
        <v>300</v>
      </c>
    </row>
    <row r="651" spans="3:13" x14ac:dyDescent="0.2">
      <c r="C651">
        <v>1129</v>
      </c>
      <c r="D651">
        <v>38.988188000000001</v>
      </c>
      <c r="E651">
        <v>-77.075770000000006</v>
      </c>
      <c r="F651">
        <v>135</v>
      </c>
      <c r="G651">
        <v>3.0278</v>
      </c>
      <c r="I651" t="s">
        <v>137</v>
      </c>
      <c r="J651">
        <v>102386</v>
      </c>
      <c r="K651">
        <v>756225</v>
      </c>
      <c r="L651" s="3">
        <v>-1</v>
      </c>
      <c r="M651" s="3">
        <v>300</v>
      </c>
    </row>
    <row r="652" spans="3:13" x14ac:dyDescent="0.2">
      <c r="C652">
        <v>1129</v>
      </c>
      <c r="D652">
        <v>38.988078999999999</v>
      </c>
      <c r="E652">
        <v>-77.076103000000003</v>
      </c>
      <c r="F652">
        <v>136</v>
      </c>
      <c r="G652">
        <v>3.0472000000000001</v>
      </c>
      <c r="I652" t="s">
        <v>137</v>
      </c>
      <c r="J652">
        <v>102389</v>
      </c>
      <c r="K652">
        <v>102386</v>
      </c>
      <c r="L652" s="3">
        <v>-1</v>
      </c>
      <c r="M652" s="3">
        <v>300</v>
      </c>
    </row>
    <row r="653" spans="3:13" x14ac:dyDescent="0.2">
      <c r="C653">
        <v>1129</v>
      </c>
      <c r="D653">
        <v>38.987999000000002</v>
      </c>
      <c r="E653">
        <v>-77.076351000000003</v>
      </c>
      <c r="F653">
        <v>137</v>
      </c>
      <c r="G653">
        <v>3.0613999999999999</v>
      </c>
      <c r="I653" t="s">
        <v>137</v>
      </c>
      <c r="J653">
        <v>102389</v>
      </c>
      <c r="K653">
        <v>102390</v>
      </c>
      <c r="L653" s="3">
        <v>-1</v>
      </c>
      <c r="M653" s="3">
        <v>300</v>
      </c>
    </row>
    <row r="654" spans="3:13" x14ac:dyDescent="0.2">
      <c r="C654">
        <v>1129</v>
      </c>
      <c r="D654">
        <v>38.987988000000001</v>
      </c>
      <c r="E654">
        <v>-77.076410999999993</v>
      </c>
      <c r="F654">
        <v>138</v>
      </c>
      <c r="G654">
        <v>3.0646</v>
      </c>
      <c r="I654" t="s">
        <v>137</v>
      </c>
      <c r="J654">
        <v>102390</v>
      </c>
      <c r="K654">
        <v>102389</v>
      </c>
      <c r="L654" s="3">
        <v>-1</v>
      </c>
      <c r="M654" s="3">
        <v>300</v>
      </c>
    </row>
    <row r="655" spans="3:13" x14ac:dyDescent="0.2">
      <c r="C655">
        <v>1129</v>
      </c>
      <c r="D655">
        <v>38.988016000000002</v>
      </c>
      <c r="E655">
        <v>-77.076418000000004</v>
      </c>
      <c r="F655">
        <v>139</v>
      </c>
      <c r="G655">
        <v>3.0665</v>
      </c>
      <c r="I655" t="s">
        <v>137</v>
      </c>
      <c r="J655">
        <v>102390</v>
      </c>
      <c r="K655">
        <v>102395</v>
      </c>
      <c r="L655" s="3">
        <v>-1</v>
      </c>
      <c r="M655" s="3">
        <v>300</v>
      </c>
    </row>
    <row r="656" spans="3:13" x14ac:dyDescent="0.2">
      <c r="C656">
        <v>1129</v>
      </c>
      <c r="D656">
        <v>38.987949999999998</v>
      </c>
      <c r="E656">
        <v>-77.076650999999998</v>
      </c>
      <c r="F656">
        <v>140</v>
      </c>
      <c r="G656">
        <v>3.0796999999999999</v>
      </c>
      <c r="I656" t="s">
        <v>137</v>
      </c>
      <c r="J656">
        <v>102395</v>
      </c>
      <c r="K656">
        <v>102390</v>
      </c>
      <c r="L656" s="3">
        <v>-1</v>
      </c>
      <c r="M656" s="3">
        <v>300</v>
      </c>
    </row>
    <row r="657" spans="3:13" x14ac:dyDescent="0.2">
      <c r="C657">
        <v>1129</v>
      </c>
      <c r="D657">
        <v>38.987923000000002</v>
      </c>
      <c r="E657">
        <v>-77.077089000000001</v>
      </c>
      <c r="F657">
        <v>141</v>
      </c>
      <c r="G657">
        <v>3.1032000000000002</v>
      </c>
      <c r="I657" t="s">
        <v>137</v>
      </c>
      <c r="J657">
        <v>102395</v>
      </c>
      <c r="K657">
        <v>102400</v>
      </c>
      <c r="L657" s="3">
        <v>-1</v>
      </c>
      <c r="M657" s="3">
        <v>300</v>
      </c>
    </row>
    <row r="658" spans="3:13" x14ac:dyDescent="0.2">
      <c r="C658">
        <v>1129</v>
      </c>
      <c r="D658">
        <v>38.987920000000003</v>
      </c>
      <c r="E658">
        <v>-77.077151999999998</v>
      </c>
      <c r="F658">
        <v>142</v>
      </c>
      <c r="G658">
        <v>3.1065999999999998</v>
      </c>
      <c r="I658" t="s">
        <v>137</v>
      </c>
      <c r="J658">
        <v>102395</v>
      </c>
      <c r="K658">
        <v>104517</v>
      </c>
      <c r="L658" s="3">
        <v>-1</v>
      </c>
      <c r="M658" s="3">
        <v>300</v>
      </c>
    </row>
    <row r="659" spans="3:13" x14ac:dyDescent="0.2">
      <c r="C659">
        <v>1129</v>
      </c>
      <c r="D659">
        <v>38.987920000000003</v>
      </c>
      <c r="E659">
        <v>-77.077789999999993</v>
      </c>
      <c r="F659">
        <v>143</v>
      </c>
      <c r="G659">
        <v>3.1408999999999998</v>
      </c>
      <c r="I659" t="s">
        <v>137</v>
      </c>
      <c r="J659">
        <v>102395</v>
      </c>
      <c r="K659">
        <v>231037</v>
      </c>
      <c r="L659" s="3">
        <v>-1</v>
      </c>
      <c r="M659" s="3">
        <v>300</v>
      </c>
    </row>
    <row r="660" spans="3:13" x14ac:dyDescent="0.2">
      <c r="C660">
        <v>1129</v>
      </c>
      <c r="D660">
        <v>38.98789</v>
      </c>
      <c r="E660">
        <v>-77.079402000000002</v>
      </c>
      <c r="F660">
        <v>144</v>
      </c>
      <c r="G660">
        <v>3.2275</v>
      </c>
      <c r="I660" t="s">
        <v>137</v>
      </c>
      <c r="J660">
        <v>102400</v>
      </c>
      <c r="K660">
        <v>102395</v>
      </c>
      <c r="L660" s="3">
        <v>-1</v>
      </c>
      <c r="M660" s="3">
        <v>300</v>
      </c>
    </row>
    <row r="661" spans="3:13" x14ac:dyDescent="0.2">
      <c r="C661">
        <v>1129</v>
      </c>
      <c r="D661">
        <v>38.987879</v>
      </c>
      <c r="E661">
        <v>-77.079800000000006</v>
      </c>
      <c r="F661">
        <v>145</v>
      </c>
      <c r="G661">
        <v>3.2488999999999999</v>
      </c>
      <c r="I661" t="s">
        <v>137</v>
      </c>
      <c r="J661">
        <v>102400</v>
      </c>
      <c r="K661">
        <v>754834</v>
      </c>
      <c r="L661" s="3">
        <v>-1</v>
      </c>
      <c r="M661" s="3">
        <v>300</v>
      </c>
    </row>
    <row r="662" spans="3:13" x14ac:dyDescent="0.2">
      <c r="C662">
        <v>1129</v>
      </c>
      <c r="D662">
        <v>38.987909000000002</v>
      </c>
      <c r="E662">
        <v>-77.080262000000005</v>
      </c>
      <c r="F662">
        <v>146</v>
      </c>
      <c r="G662">
        <v>3.2736999999999998</v>
      </c>
      <c r="I662" t="s">
        <v>137</v>
      </c>
      <c r="J662">
        <v>102401</v>
      </c>
      <c r="K662">
        <v>105187</v>
      </c>
      <c r="L662" s="3">
        <v>-1</v>
      </c>
      <c r="M662" s="3">
        <v>300</v>
      </c>
    </row>
    <row r="663" spans="3:13" x14ac:dyDescent="0.2">
      <c r="C663">
        <v>1129</v>
      </c>
      <c r="D663">
        <v>38.987957999999999</v>
      </c>
      <c r="E663">
        <v>-77.080652999999998</v>
      </c>
      <c r="F663">
        <v>147</v>
      </c>
      <c r="G663">
        <v>3.2949000000000002</v>
      </c>
      <c r="I663" t="s">
        <v>137</v>
      </c>
      <c r="J663">
        <v>102401</v>
      </c>
      <c r="K663">
        <v>754834</v>
      </c>
      <c r="L663" s="3">
        <v>-1</v>
      </c>
      <c r="M663" s="3">
        <v>300</v>
      </c>
    </row>
    <row r="664" spans="3:13" x14ac:dyDescent="0.2">
      <c r="C664">
        <v>1129</v>
      </c>
      <c r="D664">
        <v>38.988038000000003</v>
      </c>
      <c r="E664">
        <v>-77.080983000000003</v>
      </c>
      <c r="F664">
        <v>148</v>
      </c>
      <c r="G664">
        <v>3.3134000000000001</v>
      </c>
      <c r="I664" t="s">
        <v>137</v>
      </c>
      <c r="J664">
        <v>102401</v>
      </c>
      <c r="K664">
        <v>757470</v>
      </c>
      <c r="L664" s="3">
        <v>-1</v>
      </c>
      <c r="M664" s="3">
        <v>300</v>
      </c>
    </row>
    <row r="665" spans="3:13" x14ac:dyDescent="0.2">
      <c r="C665">
        <v>1129</v>
      </c>
      <c r="D665">
        <v>38.988149999999997</v>
      </c>
      <c r="E665">
        <v>-77.081401</v>
      </c>
      <c r="F665">
        <v>149</v>
      </c>
      <c r="G665">
        <v>3.3371</v>
      </c>
      <c r="I665" t="s">
        <v>137</v>
      </c>
      <c r="J665">
        <v>104510</v>
      </c>
      <c r="K665">
        <v>104511</v>
      </c>
      <c r="L665" s="3">
        <v>-1</v>
      </c>
      <c r="M665" s="3">
        <v>300</v>
      </c>
    </row>
    <row r="666" spans="3:13" x14ac:dyDescent="0.2">
      <c r="C666">
        <v>1129</v>
      </c>
      <c r="D666">
        <v>38.988177</v>
      </c>
      <c r="E666">
        <v>-77.081671999999998</v>
      </c>
      <c r="F666">
        <v>150</v>
      </c>
      <c r="G666">
        <v>3.3517000000000001</v>
      </c>
      <c r="I666" t="s">
        <v>137</v>
      </c>
      <c r="J666">
        <v>104511</v>
      </c>
      <c r="K666">
        <v>100345</v>
      </c>
      <c r="L666" s="3">
        <v>-1</v>
      </c>
      <c r="M666" s="3">
        <v>300</v>
      </c>
    </row>
    <row r="667" spans="3:13" x14ac:dyDescent="0.2">
      <c r="C667">
        <v>1129</v>
      </c>
      <c r="D667">
        <v>38.988157999999999</v>
      </c>
      <c r="E667">
        <v>-77.082053000000002</v>
      </c>
      <c r="F667">
        <v>151</v>
      </c>
      <c r="G667">
        <v>3.3721999999999999</v>
      </c>
      <c r="I667" t="s">
        <v>137</v>
      </c>
      <c r="J667">
        <v>104511</v>
      </c>
      <c r="K667">
        <v>104513</v>
      </c>
      <c r="L667" s="3">
        <v>-1</v>
      </c>
      <c r="M667" s="3">
        <v>300</v>
      </c>
    </row>
    <row r="668" spans="3:13" x14ac:dyDescent="0.2">
      <c r="C668">
        <v>1129</v>
      </c>
      <c r="D668">
        <v>38.988101</v>
      </c>
      <c r="E668">
        <v>-77.082361000000006</v>
      </c>
      <c r="F668">
        <v>152</v>
      </c>
      <c r="G668">
        <v>3.3889999999999998</v>
      </c>
      <c r="I668" t="s">
        <v>137</v>
      </c>
      <c r="J668">
        <v>104513</v>
      </c>
      <c r="K668">
        <v>100342</v>
      </c>
      <c r="L668" s="3">
        <v>-1</v>
      </c>
      <c r="M668" s="3">
        <v>300</v>
      </c>
    </row>
    <row r="669" spans="3:13" x14ac:dyDescent="0.2">
      <c r="C669">
        <v>1129</v>
      </c>
      <c r="D669">
        <v>38.988131000000003</v>
      </c>
      <c r="E669">
        <v>-77.082367000000005</v>
      </c>
      <c r="F669">
        <v>153</v>
      </c>
      <c r="G669">
        <v>3.3910999999999998</v>
      </c>
      <c r="I669" t="s">
        <v>137</v>
      </c>
      <c r="J669">
        <v>104513</v>
      </c>
      <c r="K669">
        <v>104515</v>
      </c>
      <c r="L669" s="3">
        <v>-1</v>
      </c>
      <c r="M669" s="3">
        <v>300</v>
      </c>
    </row>
    <row r="670" spans="3:13" x14ac:dyDescent="0.2">
      <c r="C670">
        <v>1129</v>
      </c>
      <c r="D670">
        <v>38.988098000000001</v>
      </c>
      <c r="E670">
        <v>-77.082381999999996</v>
      </c>
      <c r="F670">
        <v>154</v>
      </c>
      <c r="G670">
        <v>3.3934000000000002</v>
      </c>
      <c r="I670" t="s">
        <v>137</v>
      </c>
      <c r="J670">
        <v>104515</v>
      </c>
      <c r="K670">
        <v>104511</v>
      </c>
      <c r="L670" s="3">
        <v>-1</v>
      </c>
      <c r="M670" s="3">
        <v>300</v>
      </c>
    </row>
    <row r="671" spans="3:13" x14ac:dyDescent="0.2">
      <c r="C671">
        <v>1129</v>
      </c>
      <c r="D671">
        <v>38.988017999999997</v>
      </c>
      <c r="E671">
        <v>-77.082650999999998</v>
      </c>
      <c r="F671">
        <v>155</v>
      </c>
      <c r="G671">
        <v>3.4087000000000001</v>
      </c>
      <c r="I671" t="s">
        <v>137</v>
      </c>
      <c r="J671">
        <v>104515</v>
      </c>
      <c r="K671">
        <v>104513</v>
      </c>
      <c r="L671" s="3">
        <v>-1</v>
      </c>
      <c r="M671" s="3">
        <v>300</v>
      </c>
    </row>
    <row r="672" spans="3:13" x14ac:dyDescent="0.2">
      <c r="C672">
        <v>1129</v>
      </c>
      <c r="D672">
        <v>38.987938999999997</v>
      </c>
      <c r="E672">
        <v>-77.082841999999999</v>
      </c>
      <c r="F672">
        <v>156</v>
      </c>
      <c r="G672">
        <v>3.4203000000000001</v>
      </c>
      <c r="I672" t="s">
        <v>137</v>
      </c>
      <c r="J672">
        <v>104515</v>
      </c>
      <c r="K672">
        <v>104517</v>
      </c>
      <c r="L672" s="3">
        <v>-1</v>
      </c>
      <c r="M672" s="3">
        <v>300</v>
      </c>
    </row>
    <row r="673" spans="3:13" x14ac:dyDescent="0.2">
      <c r="C673">
        <v>1129</v>
      </c>
      <c r="D673">
        <v>38.987799000000003</v>
      </c>
      <c r="E673">
        <v>-77.083100999999999</v>
      </c>
      <c r="F673">
        <v>157</v>
      </c>
      <c r="G673">
        <v>3.4371</v>
      </c>
      <c r="I673" t="s">
        <v>137</v>
      </c>
      <c r="J673">
        <v>104517</v>
      </c>
      <c r="K673">
        <v>102395</v>
      </c>
      <c r="L673" s="3">
        <v>-1</v>
      </c>
      <c r="M673" s="3">
        <v>300</v>
      </c>
    </row>
    <row r="674" spans="3:13" x14ac:dyDescent="0.2">
      <c r="C674">
        <v>1129</v>
      </c>
      <c r="D674">
        <v>38.986739</v>
      </c>
      <c r="E674">
        <v>-77.084511000000006</v>
      </c>
      <c r="F674">
        <v>158</v>
      </c>
      <c r="G674">
        <v>3.5419</v>
      </c>
      <c r="I674" t="s">
        <v>137</v>
      </c>
      <c r="J674">
        <v>104517</v>
      </c>
      <c r="K674">
        <v>104515</v>
      </c>
      <c r="L674" s="3">
        <v>-1</v>
      </c>
      <c r="M674" s="3">
        <v>300</v>
      </c>
    </row>
    <row r="675" spans="3:13" x14ac:dyDescent="0.2">
      <c r="C675">
        <v>1129</v>
      </c>
      <c r="D675">
        <v>38.986319000000002</v>
      </c>
      <c r="E675">
        <v>-77.085560000000001</v>
      </c>
      <c r="F675">
        <v>159</v>
      </c>
      <c r="G675">
        <v>3.6049000000000002</v>
      </c>
      <c r="I675" t="s">
        <v>137</v>
      </c>
      <c r="J675">
        <v>104930</v>
      </c>
      <c r="K675">
        <v>104935</v>
      </c>
      <c r="L675" s="3">
        <v>-1</v>
      </c>
      <c r="M675" s="3">
        <v>300</v>
      </c>
    </row>
    <row r="676" spans="3:13" x14ac:dyDescent="0.2">
      <c r="C676">
        <v>1129</v>
      </c>
      <c r="D676">
        <v>38.986040000000003</v>
      </c>
      <c r="E676">
        <v>-77.086462999999995</v>
      </c>
      <c r="F676">
        <v>160</v>
      </c>
      <c r="G676">
        <v>3.6568000000000001</v>
      </c>
      <c r="I676" t="s">
        <v>137</v>
      </c>
      <c r="J676">
        <v>104935</v>
      </c>
      <c r="K676">
        <v>104930</v>
      </c>
      <c r="L676" s="3">
        <v>-1</v>
      </c>
      <c r="M676" s="3">
        <v>300</v>
      </c>
    </row>
    <row r="677" spans="3:13" x14ac:dyDescent="0.2">
      <c r="C677">
        <v>1129</v>
      </c>
      <c r="D677">
        <v>38.985878</v>
      </c>
      <c r="E677">
        <v>-77.087081999999995</v>
      </c>
      <c r="F677">
        <v>161</v>
      </c>
      <c r="G677">
        <v>3.6917</v>
      </c>
      <c r="I677" t="s">
        <v>137</v>
      </c>
      <c r="J677">
        <v>104935</v>
      </c>
      <c r="K677">
        <v>104936</v>
      </c>
      <c r="L677" s="3">
        <v>-1</v>
      </c>
      <c r="M677" s="3">
        <v>300</v>
      </c>
    </row>
    <row r="678" spans="3:13" x14ac:dyDescent="0.2">
      <c r="C678">
        <v>1129</v>
      </c>
      <c r="D678">
        <v>38.985751999999998</v>
      </c>
      <c r="E678">
        <v>-77.087491999999997</v>
      </c>
      <c r="F678">
        <v>162</v>
      </c>
      <c r="G678">
        <v>3.7151999999999998</v>
      </c>
      <c r="I678" t="s">
        <v>137</v>
      </c>
      <c r="J678">
        <v>104935</v>
      </c>
      <c r="K678">
        <v>105172</v>
      </c>
      <c r="L678" s="3">
        <v>-1</v>
      </c>
      <c r="M678" s="3">
        <v>300</v>
      </c>
    </row>
    <row r="679" spans="3:13" x14ac:dyDescent="0.2">
      <c r="C679">
        <v>1129</v>
      </c>
      <c r="D679">
        <v>38.985736000000003</v>
      </c>
      <c r="E679">
        <v>-77.087481999999994</v>
      </c>
      <c r="F679">
        <v>163</v>
      </c>
      <c r="G679">
        <v>3.7162999999999999</v>
      </c>
      <c r="I679" t="s">
        <v>137</v>
      </c>
      <c r="J679">
        <v>104935</v>
      </c>
      <c r="K679">
        <v>105180</v>
      </c>
      <c r="L679" s="3">
        <v>-1</v>
      </c>
      <c r="M679" s="3">
        <v>300</v>
      </c>
    </row>
    <row r="680" spans="3:13" x14ac:dyDescent="0.2">
      <c r="C680">
        <v>1129</v>
      </c>
      <c r="D680">
        <v>38.985678</v>
      </c>
      <c r="E680">
        <v>-77.087743000000003</v>
      </c>
      <c r="F680">
        <v>164</v>
      </c>
      <c r="G680">
        <v>3.7307000000000001</v>
      </c>
      <c r="I680" t="s">
        <v>137</v>
      </c>
      <c r="J680">
        <v>104936</v>
      </c>
      <c r="K680">
        <v>104935</v>
      </c>
      <c r="L680" s="3">
        <v>-1</v>
      </c>
      <c r="M680" s="3">
        <v>300</v>
      </c>
    </row>
    <row r="681" spans="3:13" x14ac:dyDescent="0.2">
      <c r="C681">
        <v>1129</v>
      </c>
      <c r="D681">
        <v>38.985489000000001</v>
      </c>
      <c r="E681">
        <v>-77.088432999999995</v>
      </c>
      <c r="F681">
        <v>165</v>
      </c>
      <c r="G681">
        <v>3.7696999999999998</v>
      </c>
      <c r="I681" t="s">
        <v>137</v>
      </c>
      <c r="J681">
        <v>104936</v>
      </c>
      <c r="K681">
        <v>104942</v>
      </c>
      <c r="L681" s="3">
        <v>-1</v>
      </c>
      <c r="M681" s="3">
        <v>300</v>
      </c>
    </row>
    <row r="682" spans="3:13" x14ac:dyDescent="0.2">
      <c r="C682">
        <v>1129</v>
      </c>
      <c r="D682">
        <v>38.985379999999999</v>
      </c>
      <c r="E682">
        <v>-77.088920999999999</v>
      </c>
      <c r="F682">
        <v>166</v>
      </c>
      <c r="G682">
        <v>3.7968000000000002</v>
      </c>
      <c r="I682" t="s">
        <v>137</v>
      </c>
      <c r="J682">
        <v>104942</v>
      </c>
      <c r="K682">
        <v>102386</v>
      </c>
      <c r="L682" s="3">
        <v>-1</v>
      </c>
      <c r="M682" s="3">
        <v>300</v>
      </c>
    </row>
    <row r="683" spans="3:13" x14ac:dyDescent="0.2">
      <c r="C683">
        <v>1129</v>
      </c>
      <c r="D683">
        <v>38.985289000000002</v>
      </c>
      <c r="E683">
        <v>-77.089472000000001</v>
      </c>
      <c r="F683">
        <v>167</v>
      </c>
      <c r="G683">
        <v>3.8269000000000002</v>
      </c>
      <c r="I683" t="s">
        <v>137</v>
      </c>
      <c r="J683">
        <v>104942</v>
      </c>
      <c r="K683">
        <v>104936</v>
      </c>
      <c r="L683" s="3">
        <v>-1</v>
      </c>
      <c r="M683" s="3">
        <v>300</v>
      </c>
    </row>
    <row r="684" spans="3:13" x14ac:dyDescent="0.2">
      <c r="C684">
        <v>1129</v>
      </c>
      <c r="D684">
        <v>38.985073</v>
      </c>
      <c r="E684">
        <v>-77.090973000000005</v>
      </c>
      <c r="F684">
        <v>168</v>
      </c>
      <c r="G684">
        <v>3.9087000000000001</v>
      </c>
      <c r="I684" t="s">
        <v>137</v>
      </c>
      <c r="J684">
        <v>105160</v>
      </c>
      <c r="K684">
        <v>105166</v>
      </c>
      <c r="L684" s="3">
        <v>-1</v>
      </c>
      <c r="M684" s="3">
        <v>300</v>
      </c>
    </row>
    <row r="685" spans="3:13" x14ac:dyDescent="0.2">
      <c r="C685">
        <v>1129</v>
      </c>
      <c r="D685">
        <v>38.985146999999998</v>
      </c>
      <c r="E685">
        <v>-77.090986999999998</v>
      </c>
      <c r="F685">
        <v>169</v>
      </c>
      <c r="G685">
        <v>3.9138000000000002</v>
      </c>
      <c r="I685" t="s">
        <v>137</v>
      </c>
      <c r="J685">
        <v>105160</v>
      </c>
      <c r="K685">
        <v>105633</v>
      </c>
      <c r="L685" s="3">
        <v>-1</v>
      </c>
      <c r="M685" s="3">
        <v>300</v>
      </c>
    </row>
    <row r="686" spans="3:13" x14ac:dyDescent="0.2">
      <c r="C686">
        <v>1129</v>
      </c>
      <c r="D686">
        <v>38.985059</v>
      </c>
      <c r="E686">
        <v>-77.091071999999997</v>
      </c>
      <c r="F686">
        <v>170</v>
      </c>
      <c r="G686">
        <v>3.9214000000000002</v>
      </c>
      <c r="I686" t="s">
        <v>137</v>
      </c>
      <c r="J686">
        <v>105160</v>
      </c>
      <c r="K686">
        <v>754983</v>
      </c>
      <c r="L686" s="3">
        <v>-1</v>
      </c>
      <c r="M686" s="3">
        <v>300</v>
      </c>
    </row>
    <row r="687" spans="3:13" x14ac:dyDescent="0.2">
      <c r="C687">
        <v>1129</v>
      </c>
      <c r="D687">
        <v>38.984892000000002</v>
      </c>
      <c r="E687">
        <v>-77.092254999999994</v>
      </c>
      <c r="F687">
        <v>171</v>
      </c>
      <c r="G687">
        <v>3.9857999999999998</v>
      </c>
      <c r="I687" t="s">
        <v>137</v>
      </c>
      <c r="J687">
        <v>105166</v>
      </c>
      <c r="K687">
        <v>105160</v>
      </c>
      <c r="L687" s="3">
        <v>-1</v>
      </c>
      <c r="M687" s="3">
        <v>300</v>
      </c>
    </row>
    <row r="688" spans="3:13" x14ac:dyDescent="0.2">
      <c r="C688">
        <v>1129</v>
      </c>
      <c r="D688">
        <v>38.984907999999997</v>
      </c>
      <c r="E688">
        <v>-77.092258999999999</v>
      </c>
      <c r="F688">
        <v>172</v>
      </c>
      <c r="G688">
        <v>3.9868999999999999</v>
      </c>
      <c r="I688" t="s">
        <v>137</v>
      </c>
      <c r="J688">
        <v>105166</v>
      </c>
      <c r="K688">
        <v>105168</v>
      </c>
      <c r="L688" s="3">
        <v>-1</v>
      </c>
      <c r="M688" s="3">
        <v>300</v>
      </c>
    </row>
    <row r="689" spans="3:13" x14ac:dyDescent="0.2">
      <c r="C689">
        <v>1129</v>
      </c>
      <c r="D689">
        <v>38.984839999999998</v>
      </c>
      <c r="E689">
        <v>-77.092633000000006</v>
      </c>
      <c r="F689">
        <v>173</v>
      </c>
      <c r="G689">
        <v>4.0073999999999996</v>
      </c>
      <c r="I689" t="s">
        <v>137</v>
      </c>
      <c r="J689">
        <v>105168</v>
      </c>
      <c r="K689">
        <v>105166</v>
      </c>
      <c r="L689" s="3">
        <v>-1</v>
      </c>
      <c r="M689" s="3">
        <v>300</v>
      </c>
    </row>
    <row r="690" spans="3:13" x14ac:dyDescent="0.2">
      <c r="C690">
        <v>1129</v>
      </c>
      <c r="D690">
        <v>38.984689000000003</v>
      </c>
      <c r="E690">
        <v>-77.093530999999999</v>
      </c>
      <c r="F690">
        <v>174</v>
      </c>
      <c r="G690">
        <v>4.0564</v>
      </c>
      <c r="I690" t="s">
        <v>137</v>
      </c>
      <c r="J690">
        <v>105168</v>
      </c>
      <c r="K690">
        <v>105172</v>
      </c>
      <c r="L690" s="3">
        <v>-1</v>
      </c>
      <c r="M690" s="3">
        <v>300</v>
      </c>
    </row>
    <row r="691" spans="3:13" x14ac:dyDescent="0.2">
      <c r="C691">
        <v>1129</v>
      </c>
      <c r="D691">
        <v>38.984588000000002</v>
      </c>
      <c r="E691">
        <v>-77.094201999999996</v>
      </c>
      <c r="F691">
        <v>175</v>
      </c>
      <c r="G691">
        <v>4.093</v>
      </c>
      <c r="I691" t="s">
        <v>137</v>
      </c>
      <c r="J691">
        <v>105172</v>
      </c>
      <c r="K691">
        <v>104935</v>
      </c>
      <c r="L691" s="3">
        <v>-1</v>
      </c>
      <c r="M691" s="3">
        <v>300</v>
      </c>
    </row>
    <row r="692" spans="3:13" x14ac:dyDescent="0.2">
      <c r="C692">
        <v>1129</v>
      </c>
      <c r="D692">
        <v>38.984357000000003</v>
      </c>
      <c r="E692">
        <v>-77.094190999999995</v>
      </c>
      <c r="F692">
        <v>176</v>
      </c>
      <c r="G692">
        <v>4.1089000000000002</v>
      </c>
      <c r="I692" t="s">
        <v>137</v>
      </c>
      <c r="J692">
        <v>105172</v>
      </c>
      <c r="K692">
        <v>105168</v>
      </c>
      <c r="L692" s="3">
        <v>-1</v>
      </c>
      <c r="M692" s="3">
        <v>300</v>
      </c>
    </row>
    <row r="693" spans="3:13" x14ac:dyDescent="0.2">
      <c r="C693">
        <v>1129</v>
      </c>
      <c r="D693">
        <v>38.98424</v>
      </c>
      <c r="E693">
        <v>-77.094160000000002</v>
      </c>
      <c r="F693">
        <v>177</v>
      </c>
      <c r="G693">
        <v>4.117</v>
      </c>
      <c r="I693" t="s">
        <v>137</v>
      </c>
      <c r="J693">
        <v>105180</v>
      </c>
      <c r="K693">
        <v>104935</v>
      </c>
      <c r="L693" s="3">
        <v>-1</v>
      </c>
      <c r="M693" s="3">
        <v>300</v>
      </c>
    </row>
    <row r="694" spans="3:13" x14ac:dyDescent="0.2">
      <c r="C694">
        <v>1129</v>
      </c>
      <c r="D694">
        <v>38.984113999999998</v>
      </c>
      <c r="E694">
        <v>-77.094122999999996</v>
      </c>
      <c r="F694">
        <v>178</v>
      </c>
      <c r="G694">
        <v>4.1258999999999997</v>
      </c>
      <c r="I694" t="s">
        <v>137</v>
      </c>
      <c r="J694">
        <v>105180</v>
      </c>
      <c r="K694">
        <v>756417</v>
      </c>
      <c r="L694" s="3">
        <v>-1</v>
      </c>
      <c r="M694" s="3">
        <v>300</v>
      </c>
    </row>
    <row r="695" spans="3:13" x14ac:dyDescent="0.2">
      <c r="C695">
        <v>1129</v>
      </c>
      <c r="D695">
        <v>38.98424</v>
      </c>
      <c r="E695">
        <v>-77.094160000000002</v>
      </c>
      <c r="F695">
        <v>179</v>
      </c>
      <c r="G695">
        <v>4.1348000000000003</v>
      </c>
      <c r="I695" t="s">
        <v>137</v>
      </c>
      <c r="J695">
        <v>105182</v>
      </c>
      <c r="K695">
        <v>105185</v>
      </c>
      <c r="L695" s="3">
        <v>-1</v>
      </c>
      <c r="M695" s="3">
        <v>300</v>
      </c>
    </row>
    <row r="696" spans="3:13" x14ac:dyDescent="0.2">
      <c r="C696">
        <v>1129</v>
      </c>
      <c r="D696">
        <v>38.984357000000003</v>
      </c>
      <c r="E696">
        <v>-77.094190999999995</v>
      </c>
      <c r="F696">
        <v>180</v>
      </c>
      <c r="G696">
        <v>4.1429999999999998</v>
      </c>
      <c r="I696" t="s">
        <v>137</v>
      </c>
      <c r="J696">
        <v>105182</v>
      </c>
      <c r="K696">
        <v>756417</v>
      </c>
      <c r="L696" s="3">
        <v>-1</v>
      </c>
      <c r="M696" s="3">
        <v>300</v>
      </c>
    </row>
    <row r="697" spans="3:13" x14ac:dyDescent="0.2">
      <c r="C697">
        <v>1129</v>
      </c>
      <c r="D697">
        <v>38.984588000000002</v>
      </c>
      <c r="E697">
        <v>-77.094201999999996</v>
      </c>
      <c r="F697">
        <v>181</v>
      </c>
      <c r="G697">
        <v>4.1589</v>
      </c>
      <c r="I697" t="s">
        <v>137</v>
      </c>
      <c r="J697">
        <v>105185</v>
      </c>
      <c r="K697">
        <v>105182</v>
      </c>
      <c r="L697" s="3">
        <v>-1</v>
      </c>
      <c r="M697" s="3">
        <v>300</v>
      </c>
    </row>
    <row r="698" spans="3:13" x14ac:dyDescent="0.2">
      <c r="C698">
        <v>1129</v>
      </c>
      <c r="D698">
        <v>38.984757999999999</v>
      </c>
      <c r="E698">
        <v>-77.094241999999994</v>
      </c>
      <c r="F698">
        <v>182</v>
      </c>
      <c r="G698">
        <v>4.1707999999999998</v>
      </c>
      <c r="I698" t="s">
        <v>137</v>
      </c>
      <c r="J698">
        <v>105185</v>
      </c>
      <c r="K698">
        <v>105187</v>
      </c>
      <c r="L698" s="3">
        <v>-1</v>
      </c>
      <c r="M698" s="3">
        <v>300</v>
      </c>
    </row>
    <row r="699" spans="3:13" x14ac:dyDescent="0.2">
      <c r="C699">
        <v>1129</v>
      </c>
      <c r="D699">
        <v>38.984878000000002</v>
      </c>
      <c r="E699">
        <v>-77.094480000000004</v>
      </c>
      <c r="F699">
        <v>183</v>
      </c>
      <c r="G699">
        <v>4.1859999999999999</v>
      </c>
      <c r="I699" t="s">
        <v>137</v>
      </c>
      <c r="J699">
        <v>105187</v>
      </c>
      <c r="K699">
        <v>102401</v>
      </c>
      <c r="L699" s="3">
        <v>-1</v>
      </c>
      <c r="M699" s="3">
        <v>300</v>
      </c>
    </row>
    <row r="700" spans="3:13" x14ac:dyDescent="0.2">
      <c r="C700">
        <v>1129</v>
      </c>
      <c r="D700">
        <v>38.985137999999999</v>
      </c>
      <c r="E700">
        <v>-77.094909999999999</v>
      </c>
      <c r="F700">
        <v>184</v>
      </c>
      <c r="G700">
        <v>4.2153</v>
      </c>
      <c r="I700" t="s">
        <v>137</v>
      </c>
      <c r="J700">
        <v>105187</v>
      </c>
      <c r="K700">
        <v>105185</v>
      </c>
      <c r="L700" s="3">
        <v>-1</v>
      </c>
      <c r="M700" s="3">
        <v>300</v>
      </c>
    </row>
    <row r="701" spans="3:13" x14ac:dyDescent="0.2">
      <c r="C701">
        <v>1129</v>
      </c>
      <c r="D701">
        <v>38.985399000000001</v>
      </c>
      <c r="E701">
        <v>-77.095330000000004</v>
      </c>
      <c r="F701">
        <v>185</v>
      </c>
      <c r="G701">
        <v>4.2443</v>
      </c>
      <c r="I701" t="s">
        <v>137</v>
      </c>
      <c r="J701">
        <v>105633</v>
      </c>
      <c r="K701">
        <v>105160</v>
      </c>
      <c r="L701" s="3">
        <v>-1</v>
      </c>
      <c r="M701" s="3">
        <v>300</v>
      </c>
    </row>
    <row r="702" spans="3:13" x14ac:dyDescent="0.2">
      <c r="C702">
        <v>1129</v>
      </c>
      <c r="D702">
        <v>38.985629000000003</v>
      </c>
      <c r="E702">
        <v>-77.095682999999994</v>
      </c>
      <c r="F702">
        <v>186</v>
      </c>
      <c r="G702">
        <v>4.2690999999999999</v>
      </c>
      <c r="I702" t="s">
        <v>137</v>
      </c>
      <c r="J702">
        <v>105633</v>
      </c>
      <c r="K702">
        <v>105634</v>
      </c>
      <c r="L702" s="3">
        <v>-1</v>
      </c>
      <c r="M702" s="3">
        <v>300</v>
      </c>
    </row>
    <row r="703" spans="3:13" x14ac:dyDescent="0.2">
      <c r="C703">
        <v>1129</v>
      </c>
      <c r="D703">
        <v>38.986248000000003</v>
      </c>
      <c r="E703">
        <v>-77.096722</v>
      </c>
      <c r="F703">
        <v>187</v>
      </c>
      <c r="G703">
        <v>4.3398000000000003</v>
      </c>
      <c r="I703" t="s">
        <v>137</v>
      </c>
      <c r="J703">
        <v>105634</v>
      </c>
      <c r="K703">
        <v>105633</v>
      </c>
      <c r="L703" s="3">
        <v>-1</v>
      </c>
      <c r="M703" s="3">
        <v>300</v>
      </c>
    </row>
    <row r="704" spans="3:13" x14ac:dyDescent="0.2">
      <c r="C704">
        <v>1129</v>
      </c>
      <c r="D704">
        <v>38.986258999999997</v>
      </c>
      <c r="E704">
        <v>-77.096765000000005</v>
      </c>
      <c r="F704">
        <v>188</v>
      </c>
      <c r="G704">
        <v>4.3419999999999996</v>
      </c>
      <c r="I704" t="s">
        <v>137</v>
      </c>
      <c r="J704">
        <v>108156</v>
      </c>
      <c r="K704">
        <v>108157</v>
      </c>
      <c r="L704" s="3">
        <v>-1</v>
      </c>
      <c r="M704" s="3">
        <v>300</v>
      </c>
    </row>
    <row r="705" spans="3:13" x14ac:dyDescent="0.2">
      <c r="C705">
        <v>1129</v>
      </c>
      <c r="D705">
        <v>38.986248000000003</v>
      </c>
      <c r="E705">
        <v>-77.096722</v>
      </c>
      <c r="F705">
        <v>189</v>
      </c>
      <c r="G705">
        <v>4.3442999999999996</v>
      </c>
      <c r="I705" t="s">
        <v>137</v>
      </c>
      <c r="J705">
        <v>108157</v>
      </c>
      <c r="K705">
        <v>108159</v>
      </c>
      <c r="L705" s="3">
        <v>-1</v>
      </c>
      <c r="M705" s="3">
        <v>300</v>
      </c>
    </row>
    <row r="706" spans="3:13" x14ac:dyDescent="0.2">
      <c r="C706">
        <v>1129</v>
      </c>
      <c r="D706">
        <v>38.986750000000001</v>
      </c>
      <c r="E706">
        <v>-77.096211999999994</v>
      </c>
      <c r="F706">
        <v>190</v>
      </c>
      <c r="G706">
        <v>4.3883000000000001</v>
      </c>
      <c r="I706" t="s">
        <v>137</v>
      </c>
      <c r="J706">
        <v>108166</v>
      </c>
      <c r="K706">
        <v>108169</v>
      </c>
      <c r="L706" s="3">
        <v>-1</v>
      </c>
      <c r="M706" s="3">
        <v>300</v>
      </c>
    </row>
    <row r="707" spans="3:13" x14ac:dyDescent="0.2">
      <c r="C707">
        <v>1129</v>
      </c>
      <c r="D707">
        <v>38.986897999999997</v>
      </c>
      <c r="E707">
        <v>-77.096072000000007</v>
      </c>
      <c r="F707">
        <v>191</v>
      </c>
      <c r="G707">
        <v>4.4008000000000003</v>
      </c>
      <c r="I707" t="s">
        <v>137</v>
      </c>
      <c r="J707">
        <v>108169</v>
      </c>
      <c r="K707">
        <v>108171</v>
      </c>
      <c r="L707" s="3">
        <v>-1</v>
      </c>
      <c r="M707" s="3">
        <v>300</v>
      </c>
    </row>
    <row r="708" spans="3:13" x14ac:dyDescent="0.2">
      <c r="C708">
        <v>1129</v>
      </c>
      <c r="D708">
        <v>38.987098000000003</v>
      </c>
      <c r="E708">
        <v>-77.095961000000003</v>
      </c>
      <c r="F708">
        <v>192</v>
      </c>
      <c r="G708">
        <v>4.4157000000000002</v>
      </c>
      <c r="I708" t="s">
        <v>137</v>
      </c>
      <c r="J708">
        <v>108169</v>
      </c>
      <c r="K708">
        <v>756589</v>
      </c>
      <c r="L708" s="3">
        <v>-1</v>
      </c>
      <c r="M708" s="3">
        <v>300</v>
      </c>
    </row>
    <row r="709" spans="3:13" x14ac:dyDescent="0.2">
      <c r="C709">
        <v>1129</v>
      </c>
      <c r="D709">
        <v>38.987380000000002</v>
      </c>
      <c r="E709">
        <v>-77.095961000000003</v>
      </c>
      <c r="F709">
        <v>193</v>
      </c>
      <c r="G709">
        <v>4.4352</v>
      </c>
      <c r="I709" t="s">
        <v>137</v>
      </c>
      <c r="J709">
        <v>108169</v>
      </c>
      <c r="K709">
        <v>756613</v>
      </c>
      <c r="L709" s="3">
        <v>-1</v>
      </c>
      <c r="M709" s="3">
        <v>300</v>
      </c>
    </row>
    <row r="710" spans="3:13" x14ac:dyDescent="0.2">
      <c r="C710">
        <v>1129</v>
      </c>
      <c r="D710">
        <v>38.987806999999997</v>
      </c>
      <c r="E710">
        <v>-77.096011000000004</v>
      </c>
      <c r="F710">
        <v>194</v>
      </c>
      <c r="G710">
        <v>4.4648000000000003</v>
      </c>
      <c r="I710" t="s">
        <v>137</v>
      </c>
      <c r="J710">
        <v>108171</v>
      </c>
      <c r="K710">
        <v>108177</v>
      </c>
      <c r="L710" s="3">
        <v>-1</v>
      </c>
      <c r="M710" s="3">
        <v>300</v>
      </c>
    </row>
    <row r="711" spans="3:13" x14ac:dyDescent="0.2">
      <c r="C711">
        <v>1129</v>
      </c>
      <c r="D711">
        <v>38.988177</v>
      </c>
      <c r="E711">
        <v>-77.096063000000001</v>
      </c>
      <c r="F711">
        <v>195</v>
      </c>
      <c r="G711">
        <v>4.4903000000000004</v>
      </c>
      <c r="I711" t="s">
        <v>137</v>
      </c>
      <c r="J711">
        <v>108177</v>
      </c>
      <c r="K711">
        <v>102401</v>
      </c>
      <c r="L711" s="3">
        <v>-1</v>
      </c>
      <c r="M711" s="3">
        <v>300</v>
      </c>
    </row>
    <row r="712" spans="3:13" x14ac:dyDescent="0.2">
      <c r="C712">
        <v>1129</v>
      </c>
      <c r="D712">
        <v>38.988227000000002</v>
      </c>
      <c r="E712">
        <v>-77.096058999999997</v>
      </c>
      <c r="F712">
        <v>196</v>
      </c>
      <c r="G712">
        <v>4.4938000000000002</v>
      </c>
      <c r="I712" t="s">
        <v>137</v>
      </c>
      <c r="J712">
        <v>231037</v>
      </c>
      <c r="K712">
        <v>102395</v>
      </c>
      <c r="L712" s="3">
        <v>-1</v>
      </c>
      <c r="M712" s="3">
        <v>300</v>
      </c>
    </row>
    <row r="713" spans="3:13" x14ac:dyDescent="0.2">
      <c r="C713">
        <v>1129</v>
      </c>
      <c r="D713">
        <v>38.988177</v>
      </c>
      <c r="E713">
        <v>-77.096063000000001</v>
      </c>
      <c r="F713">
        <v>197</v>
      </c>
      <c r="G713">
        <v>4.4972000000000003</v>
      </c>
      <c r="I713" t="s">
        <v>137</v>
      </c>
      <c r="J713">
        <v>231037</v>
      </c>
      <c r="K713">
        <v>756589</v>
      </c>
      <c r="L713" s="3">
        <v>-1</v>
      </c>
      <c r="M713" s="3">
        <v>300</v>
      </c>
    </row>
    <row r="714" spans="3:13" x14ac:dyDescent="0.2">
      <c r="C714">
        <v>1129</v>
      </c>
      <c r="D714">
        <v>38.988261999999999</v>
      </c>
      <c r="E714">
        <v>-77.095093000000006</v>
      </c>
      <c r="F714">
        <v>198</v>
      </c>
      <c r="G714">
        <v>4.5494000000000003</v>
      </c>
      <c r="I714" t="s">
        <v>137</v>
      </c>
      <c r="J714">
        <v>754833</v>
      </c>
      <c r="K714">
        <v>100337</v>
      </c>
      <c r="L714" s="3">
        <v>-1</v>
      </c>
      <c r="M714" s="3">
        <v>300</v>
      </c>
    </row>
    <row r="715" spans="3:13" x14ac:dyDescent="0.2">
      <c r="C715">
        <v>1129</v>
      </c>
      <c r="D715">
        <v>38.988242999999997</v>
      </c>
      <c r="E715">
        <v>-77.095089000000002</v>
      </c>
      <c r="F715">
        <v>199</v>
      </c>
      <c r="G715">
        <v>4.5507999999999997</v>
      </c>
      <c r="I715" t="s">
        <v>137</v>
      </c>
      <c r="J715">
        <v>754833</v>
      </c>
      <c r="K715">
        <v>100339</v>
      </c>
      <c r="L715" s="3">
        <v>-1</v>
      </c>
      <c r="M715" s="3">
        <v>300</v>
      </c>
    </row>
    <row r="716" spans="3:13" x14ac:dyDescent="0.2">
      <c r="C716">
        <v>1129</v>
      </c>
      <c r="D716">
        <v>38.988267999999998</v>
      </c>
      <c r="E716">
        <v>-77.095050000000001</v>
      </c>
      <c r="F716">
        <v>200</v>
      </c>
      <c r="G716">
        <v>4.5533999999999999</v>
      </c>
      <c r="I716" t="s">
        <v>137</v>
      </c>
      <c r="J716">
        <v>754834</v>
      </c>
      <c r="K716">
        <v>102400</v>
      </c>
      <c r="L716" s="3">
        <v>-1</v>
      </c>
      <c r="M716" s="3">
        <v>300</v>
      </c>
    </row>
    <row r="717" spans="3:13" x14ac:dyDescent="0.2">
      <c r="C717">
        <v>1129</v>
      </c>
      <c r="D717">
        <v>38.988987999999999</v>
      </c>
      <c r="E717">
        <v>-77.095209999999994</v>
      </c>
      <c r="F717">
        <v>201</v>
      </c>
      <c r="G717">
        <v>4.6040000000000001</v>
      </c>
      <c r="I717" t="s">
        <v>137</v>
      </c>
      <c r="J717">
        <v>754834</v>
      </c>
      <c r="K717">
        <v>102401</v>
      </c>
      <c r="L717" s="3">
        <v>-1</v>
      </c>
      <c r="M717" s="3">
        <v>300</v>
      </c>
    </row>
    <row r="718" spans="3:13" x14ac:dyDescent="0.2">
      <c r="C718">
        <v>1129</v>
      </c>
      <c r="D718">
        <v>38.989539000000001</v>
      </c>
      <c r="E718">
        <v>-77.095330000000004</v>
      </c>
      <c r="F718">
        <v>202</v>
      </c>
      <c r="G718">
        <v>4.6425999999999998</v>
      </c>
      <c r="I718" t="s">
        <v>137</v>
      </c>
      <c r="J718">
        <v>754983</v>
      </c>
      <c r="K718">
        <v>105160</v>
      </c>
      <c r="L718" s="3">
        <v>-1</v>
      </c>
      <c r="M718" s="3">
        <v>300</v>
      </c>
    </row>
    <row r="719" spans="3:13" x14ac:dyDescent="0.2">
      <c r="C719">
        <v>1129</v>
      </c>
      <c r="D719">
        <v>38.990183000000002</v>
      </c>
      <c r="E719">
        <v>-77.095470000000006</v>
      </c>
      <c r="F719">
        <v>203</v>
      </c>
      <c r="G719">
        <v>4.6877000000000004</v>
      </c>
      <c r="I719" t="s">
        <v>137</v>
      </c>
      <c r="J719">
        <v>755622</v>
      </c>
      <c r="K719">
        <v>100964</v>
      </c>
      <c r="L719" s="3">
        <v>-1</v>
      </c>
      <c r="M719" s="3">
        <v>300</v>
      </c>
    </row>
    <row r="720" spans="3:13" x14ac:dyDescent="0.2">
      <c r="C720">
        <v>1129</v>
      </c>
      <c r="D720">
        <v>38.990194000000002</v>
      </c>
      <c r="E720">
        <v>-77.095399</v>
      </c>
      <c r="F720">
        <v>204</v>
      </c>
      <c r="G720">
        <v>4.6914999999999996</v>
      </c>
      <c r="I720" t="s">
        <v>137</v>
      </c>
      <c r="J720">
        <v>756225</v>
      </c>
      <c r="K720">
        <v>102384</v>
      </c>
      <c r="L720" s="3">
        <v>-1</v>
      </c>
      <c r="M720" s="3">
        <v>300</v>
      </c>
    </row>
    <row r="721" spans="3:13" x14ac:dyDescent="0.2">
      <c r="C721">
        <v>1129</v>
      </c>
      <c r="D721">
        <v>38.990538999999998</v>
      </c>
      <c r="E721">
        <v>-77.095543000000006</v>
      </c>
      <c r="F721">
        <v>205</v>
      </c>
      <c r="G721">
        <v>4.7164999999999999</v>
      </c>
      <c r="I721" t="s">
        <v>137</v>
      </c>
      <c r="J721">
        <v>756225</v>
      </c>
      <c r="K721">
        <v>102386</v>
      </c>
      <c r="L721" s="3">
        <v>-1</v>
      </c>
      <c r="M721" s="3">
        <v>300</v>
      </c>
    </row>
    <row r="722" spans="3:13" x14ac:dyDescent="0.2">
      <c r="C722">
        <v>1129</v>
      </c>
      <c r="D722">
        <v>38.990969999999997</v>
      </c>
      <c r="E722">
        <v>-77.095633000000007</v>
      </c>
      <c r="F722">
        <v>206</v>
      </c>
      <c r="G722">
        <v>4.7465999999999999</v>
      </c>
      <c r="I722" t="s">
        <v>137</v>
      </c>
      <c r="J722">
        <v>756323</v>
      </c>
      <c r="K722">
        <v>100963</v>
      </c>
      <c r="L722" s="3">
        <v>-1</v>
      </c>
      <c r="M722" s="3">
        <v>300</v>
      </c>
    </row>
    <row r="723" spans="3:13" x14ac:dyDescent="0.2">
      <c r="C723">
        <v>1129</v>
      </c>
      <c r="D723">
        <v>38.991219000000001</v>
      </c>
      <c r="E723">
        <v>-77.095681999999996</v>
      </c>
      <c r="F723">
        <v>207</v>
      </c>
      <c r="G723">
        <v>4.7640000000000002</v>
      </c>
      <c r="I723" t="s">
        <v>137</v>
      </c>
      <c r="J723">
        <v>756323</v>
      </c>
      <c r="K723">
        <v>100964</v>
      </c>
      <c r="L723" s="3">
        <v>-1</v>
      </c>
      <c r="M723" s="3">
        <v>300</v>
      </c>
    </row>
    <row r="724" spans="3:13" x14ac:dyDescent="0.2">
      <c r="C724">
        <v>1129</v>
      </c>
      <c r="D724">
        <v>38.991249000000003</v>
      </c>
      <c r="E724">
        <v>-77.095692999999997</v>
      </c>
      <c r="F724">
        <v>208</v>
      </c>
      <c r="G724">
        <v>4.7660999999999998</v>
      </c>
      <c r="I724" t="s">
        <v>137</v>
      </c>
      <c r="J724">
        <v>756417</v>
      </c>
      <c r="K724">
        <v>105180</v>
      </c>
      <c r="L724" s="3">
        <v>-1</v>
      </c>
      <c r="M724" s="3">
        <v>300</v>
      </c>
    </row>
    <row r="725" spans="3:13" x14ac:dyDescent="0.2">
      <c r="C725">
        <v>1129</v>
      </c>
      <c r="D725">
        <v>38.991245999999997</v>
      </c>
      <c r="E725">
        <v>-77.095716999999993</v>
      </c>
      <c r="F725">
        <v>209</v>
      </c>
      <c r="G725">
        <v>4.7674000000000003</v>
      </c>
      <c r="I725" t="s">
        <v>137</v>
      </c>
      <c r="J725">
        <v>756417</v>
      </c>
      <c r="K725">
        <v>105182</v>
      </c>
      <c r="L725" s="3">
        <v>-1</v>
      </c>
      <c r="M725" s="3">
        <v>300</v>
      </c>
    </row>
    <row r="726" spans="3:13" x14ac:dyDescent="0.2">
      <c r="C726">
        <v>1129</v>
      </c>
      <c r="D726">
        <v>38.991917999999998</v>
      </c>
      <c r="E726">
        <v>-77.095843000000002</v>
      </c>
      <c r="F726">
        <v>210</v>
      </c>
      <c r="G726">
        <v>4.8141999999999996</v>
      </c>
      <c r="I726" t="s">
        <v>137</v>
      </c>
      <c r="J726">
        <v>756460</v>
      </c>
      <c r="K726">
        <v>100348</v>
      </c>
      <c r="L726" s="3">
        <v>-1</v>
      </c>
      <c r="M726" s="3">
        <v>300</v>
      </c>
    </row>
    <row r="727" spans="3:13" x14ac:dyDescent="0.2">
      <c r="C727">
        <v>1129</v>
      </c>
      <c r="D727">
        <v>38.992699000000002</v>
      </c>
      <c r="E727">
        <v>-77.096012000000002</v>
      </c>
      <c r="F727">
        <v>211</v>
      </c>
      <c r="G727">
        <v>4.8689</v>
      </c>
      <c r="I727" t="s">
        <v>137</v>
      </c>
      <c r="J727">
        <v>756460</v>
      </c>
      <c r="K727">
        <v>757450</v>
      </c>
      <c r="L727" s="3">
        <v>-1</v>
      </c>
      <c r="M727" s="3">
        <v>300</v>
      </c>
    </row>
    <row r="728" spans="3:13" x14ac:dyDescent="0.2">
      <c r="C728">
        <v>1129</v>
      </c>
      <c r="D728">
        <v>38.992797000000003</v>
      </c>
      <c r="E728">
        <v>-77.096031999999994</v>
      </c>
      <c r="F728">
        <v>212</v>
      </c>
      <c r="G728">
        <v>4.8757999999999999</v>
      </c>
      <c r="I728" t="s">
        <v>137</v>
      </c>
      <c r="J728">
        <v>756589</v>
      </c>
      <c r="K728">
        <v>108169</v>
      </c>
      <c r="L728" s="3">
        <v>-1</v>
      </c>
      <c r="M728" s="3">
        <v>300</v>
      </c>
    </row>
    <row r="729" spans="3:13" x14ac:dyDescent="0.2">
      <c r="C729">
        <v>1129</v>
      </c>
      <c r="D729">
        <v>38.993457999999997</v>
      </c>
      <c r="E729">
        <v>-77.096171999999996</v>
      </c>
      <c r="F729">
        <v>213</v>
      </c>
      <c r="G729">
        <v>4.9219999999999997</v>
      </c>
      <c r="I729" t="s">
        <v>137</v>
      </c>
      <c r="J729">
        <v>756589</v>
      </c>
      <c r="K729">
        <v>231037</v>
      </c>
      <c r="L729" s="3">
        <v>-1</v>
      </c>
      <c r="M729" s="3">
        <v>300</v>
      </c>
    </row>
    <row r="730" spans="3:13" x14ac:dyDescent="0.2">
      <c r="C730">
        <v>1129</v>
      </c>
      <c r="D730">
        <v>38.993465999999998</v>
      </c>
      <c r="E730">
        <v>-77.096207000000007</v>
      </c>
      <c r="F730">
        <v>214</v>
      </c>
      <c r="G730">
        <v>4.9238999999999997</v>
      </c>
      <c r="I730" t="s">
        <v>137</v>
      </c>
      <c r="J730">
        <v>756613</v>
      </c>
      <c r="K730">
        <v>108169</v>
      </c>
      <c r="L730" s="3">
        <v>-1</v>
      </c>
      <c r="M730" s="3">
        <v>300</v>
      </c>
    </row>
    <row r="731" spans="3:13" x14ac:dyDescent="0.2">
      <c r="C731">
        <v>1129</v>
      </c>
      <c r="D731">
        <v>38.994298999999998</v>
      </c>
      <c r="E731">
        <v>-77.096340999999995</v>
      </c>
      <c r="F731">
        <v>215</v>
      </c>
      <c r="G731">
        <v>4.9817999999999998</v>
      </c>
      <c r="I731" t="s">
        <v>137</v>
      </c>
      <c r="J731">
        <v>757299</v>
      </c>
      <c r="K731">
        <v>100339</v>
      </c>
      <c r="L731" s="3">
        <v>-1</v>
      </c>
      <c r="M731" s="3">
        <v>300</v>
      </c>
    </row>
    <row r="732" spans="3:13" x14ac:dyDescent="0.2">
      <c r="C732">
        <v>1129</v>
      </c>
      <c r="D732">
        <v>38.994383999999997</v>
      </c>
      <c r="E732">
        <v>-77.096361000000002</v>
      </c>
      <c r="F732">
        <v>216</v>
      </c>
      <c r="G732">
        <v>4.9877000000000002</v>
      </c>
      <c r="I732" t="s">
        <v>137</v>
      </c>
      <c r="J732">
        <v>757449</v>
      </c>
      <c r="K732">
        <v>100347</v>
      </c>
      <c r="L732" s="3">
        <v>-1</v>
      </c>
      <c r="M732" s="3">
        <v>300</v>
      </c>
    </row>
    <row r="733" spans="3:13" x14ac:dyDescent="0.2">
      <c r="C733">
        <v>1129</v>
      </c>
      <c r="D733">
        <v>38.994439</v>
      </c>
      <c r="E733">
        <v>-77.096352999999993</v>
      </c>
      <c r="F733">
        <v>217</v>
      </c>
      <c r="G733">
        <v>4.9915000000000003</v>
      </c>
      <c r="I733" t="s">
        <v>137</v>
      </c>
      <c r="J733">
        <v>757449</v>
      </c>
      <c r="K733">
        <v>757452</v>
      </c>
      <c r="L733" s="3">
        <v>-1</v>
      </c>
      <c r="M733" s="3">
        <v>300</v>
      </c>
    </row>
    <row r="734" spans="3:13" x14ac:dyDescent="0.2">
      <c r="C734">
        <v>1129</v>
      </c>
      <c r="D734">
        <v>38.995027999999998</v>
      </c>
      <c r="E734">
        <v>-77.096423000000001</v>
      </c>
      <c r="F734">
        <v>218</v>
      </c>
      <c r="G734">
        <v>5.0324</v>
      </c>
      <c r="I734" t="s">
        <v>137</v>
      </c>
      <c r="J734">
        <v>757450</v>
      </c>
      <c r="K734">
        <v>756460</v>
      </c>
      <c r="L734" s="3">
        <v>-1</v>
      </c>
      <c r="M734" s="3">
        <v>300</v>
      </c>
    </row>
    <row r="735" spans="3:13" x14ac:dyDescent="0.2">
      <c r="C735">
        <v>1129</v>
      </c>
      <c r="D735">
        <v>38.995159999999998</v>
      </c>
      <c r="E735">
        <v>-77.096442999999994</v>
      </c>
      <c r="F735">
        <v>219</v>
      </c>
      <c r="G735">
        <v>5.0415000000000001</v>
      </c>
      <c r="I735" t="s">
        <v>137</v>
      </c>
      <c r="J735">
        <v>757450</v>
      </c>
      <c r="K735">
        <v>757451</v>
      </c>
      <c r="L735" s="3">
        <v>-1</v>
      </c>
      <c r="M735" s="3">
        <v>300</v>
      </c>
    </row>
    <row r="736" spans="3:13" x14ac:dyDescent="0.2">
      <c r="C736">
        <v>1129</v>
      </c>
      <c r="D736">
        <v>38.995359999999998</v>
      </c>
      <c r="E736">
        <v>-77.096472000000006</v>
      </c>
      <c r="F736">
        <v>220</v>
      </c>
      <c r="G736">
        <v>5.0552999999999999</v>
      </c>
      <c r="I736" t="s">
        <v>137</v>
      </c>
      <c r="J736">
        <v>757451</v>
      </c>
      <c r="K736">
        <v>100347</v>
      </c>
      <c r="L736" s="3">
        <v>-1</v>
      </c>
      <c r="M736" s="3">
        <v>300</v>
      </c>
    </row>
    <row r="737" spans="3:13" x14ac:dyDescent="0.2">
      <c r="C737">
        <v>1129</v>
      </c>
      <c r="D737">
        <v>38.996209</v>
      </c>
      <c r="E737">
        <v>-77.096570999999997</v>
      </c>
      <c r="F737">
        <v>221</v>
      </c>
      <c r="G737">
        <v>5.1142000000000003</v>
      </c>
      <c r="I737" t="s">
        <v>137</v>
      </c>
      <c r="J737">
        <v>757451</v>
      </c>
      <c r="K737">
        <v>757450</v>
      </c>
      <c r="L737" s="3">
        <v>-1</v>
      </c>
      <c r="M737" s="3">
        <v>300</v>
      </c>
    </row>
    <row r="738" spans="3:13" x14ac:dyDescent="0.2">
      <c r="C738">
        <v>1129</v>
      </c>
      <c r="D738">
        <v>38.996870000000001</v>
      </c>
      <c r="E738">
        <v>-77.096632999999997</v>
      </c>
      <c r="F738">
        <v>222</v>
      </c>
      <c r="G738">
        <v>5.1597999999999997</v>
      </c>
      <c r="I738" t="s">
        <v>137</v>
      </c>
      <c r="J738">
        <v>757452</v>
      </c>
      <c r="K738">
        <v>757449</v>
      </c>
      <c r="L738" s="3">
        <v>-1</v>
      </c>
      <c r="M738" s="3">
        <v>300</v>
      </c>
    </row>
    <row r="739" spans="3:13" x14ac:dyDescent="0.2">
      <c r="C739">
        <v>1129</v>
      </c>
      <c r="D739">
        <v>38.996882999999997</v>
      </c>
      <c r="E739">
        <v>-77.096632</v>
      </c>
      <c r="F739">
        <v>223</v>
      </c>
      <c r="G739">
        <v>5.1608000000000001</v>
      </c>
      <c r="I739" t="s">
        <v>137</v>
      </c>
      <c r="J739">
        <v>757452</v>
      </c>
      <c r="K739">
        <v>757453</v>
      </c>
      <c r="L739" s="3">
        <v>-1</v>
      </c>
      <c r="M739" s="3">
        <v>300</v>
      </c>
    </row>
    <row r="740" spans="3:13" x14ac:dyDescent="0.2">
      <c r="C740">
        <v>1129</v>
      </c>
      <c r="D740">
        <v>38.997329999999998</v>
      </c>
      <c r="E740">
        <v>-77.096661999999995</v>
      </c>
      <c r="F740">
        <v>224</v>
      </c>
      <c r="G740">
        <v>5.1917</v>
      </c>
      <c r="I740" t="s">
        <v>137</v>
      </c>
      <c r="J740">
        <v>757453</v>
      </c>
      <c r="K740">
        <v>100345</v>
      </c>
      <c r="L740" s="3">
        <v>-1</v>
      </c>
      <c r="M740" s="3">
        <v>300</v>
      </c>
    </row>
    <row r="741" spans="3:13" x14ac:dyDescent="0.2">
      <c r="C741">
        <v>1129</v>
      </c>
      <c r="D741">
        <v>38.999488999999997</v>
      </c>
      <c r="E741">
        <v>-77.096891999999997</v>
      </c>
      <c r="F741">
        <v>225</v>
      </c>
      <c r="G741">
        <v>5.3414999999999999</v>
      </c>
      <c r="I741" t="s">
        <v>137</v>
      </c>
      <c r="J741">
        <v>757453</v>
      </c>
      <c r="K741">
        <v>757452</v>
      </c>
      <c r="L741" s="3">
        <v>-1</v>
      </c>
      <c r="M741" s="3">
        <v>300</v>
      </c>
    </row>
    <row r="742" spans="3:13" x14ac:dyDescent="0.2">
      <c r="C742">
        <v>1129</v>
      </c>
      <c r="D742">
        <v>38.999485999999997</v>
      </c>
      <c r="E742">
        <v>-77.096895000000004</v>
      </c>
      <c r="F742">
        <v>226</v>
      </c>
      <c r="G742">
        <v>5.3417000000000003</v>
      </c>
      <c r="I742" t="s">
        <v>137</v>
      </c>
      <c r="J742">
        <v>757458</v>
      </c>
      <c r="K742">
        <v>100347</v>
      </c>
      <c r="L742" s="3">
        <v>-1</v>
      </c>
      <c r="M742" s="3">
        <v>300</v>
      </c>
    </row>
    <row r="743" spans="3:13" x14ac:dyDescent="0.2">
      <c r="C743">
        <v>1129</v>
      </c>
      <c r="D743">
        <v>38.999488999999997</v>
      </c>
      <c r="E743">
        <v>-77.096891999999997</v>
      </c>
      <c r="F743">
        <v>227</v>
      </c>
      <c r="G743">
        <v>5.3418999999999999</v>
      </c>
      <c r="I743" t="s">
        <v>137</v>
      </c>
      <c r="J743">
        <v>757458</v>
      </c>
      <c r="K743">
        <v>100465</v>
      </c>
      <c r="L743" s="3">
        <v>-1</v>
      </c>
      <c r="M743" s="3">
        <v>300</v>
      </c>
    </row>
    <row r="744" spans="3:13" x14ac:dyDescent="0.2">
      <c r="C744">
        <v>1129</v>
      </c>
      <c r="D744">
        <v>38.999727999999998</v>
      </c>
      <c r="E744">
        <v>-77.096991000000003</v>
      </c>
      <c r="F744">
        <v>228</v>
      </c>
      <c r="G744">
        <v>5.3590999999999998</v>
      </c>
      <c r="I744" t="s">
        <v>137</v>
      </c>
      <c r="J744">
        <v>757470</v>
      </c>
      <c r="K744">
        <v>102401</v>
      </c>
      <c r="L744" s="3">
        <v>-1</v>
      </c>
      <c r="M744" s="3">
        <v>300</v>
      </c>
    </row>
    <row r="745" spans="3:13" x14ac:dyDescent="0.2">
      <c r="C745">
        <v>1129</v>
      </c>
      <c r="D745">
        <v>39.000067000000001</v>
      </c>
      <c r="E745">
        <v>-77.097042999999999</v>
      </c>
      <c r="F745">
        <v>229</v>
      </c>
      <c r="G745">
        <v>5.3827999999999996</v>
      </c>
      <c r="I745" t="s">
        <v>137</v>
      </c>
      <c r="J745">
        <v>757471</v>
      </c>
      <c r="K745">
        <v>100342</v>
      </c>
      <c r="L745" s="3">
        <v>-1</v>
      </c>
      <c r="M745" s="3">
        <v>300</v>
      </c>
    </row>
    <row r="746" spans="3:13" x14ac:dyDescent="0.2">
      <c r="C746">
        <v>1129</v>
      </c>
      <c r="D746">
        <v>39.000410000000002</v>
      </c>
      <c r="E746">
        <v>-77.097070000000002</v>
      </c>
      <c r="F746">
        <v>230</v>
      </c>
      <c r="G746">
        <v>5.4063999999999997</v>
      </c>
      <c r="I746" t="s">
        <v>137</v>
      </c>
      <c r="J746">
        <v>757471</v>
      </c>
      <c r="K746">
        <v>100960</v>
      </c>
      <c r="L746" s="3">
        <v>-1</v>
      </c>
      <c r="M746" s="3">
        <v>300</v>
      </c>
    </row>
    <row r="747" spans="3:13" x14ac:dyDescent="0.2">
      <c r="C747">
        <v>1129</v>
      </c>
      <c r="D747">
        <v>39.000847999999998</v>
      </c>
      <c r="E747">
        <v>-77.097121000000001</v>
      </c>
      <c r="F747">
        <v>231</v>
      </c>
      <c r="G747">
        <v>5.4367000000000001</v>
      </c>
      <c r="I747" t="s">
        <v>137</v>
      </c>
      <c r="J747">
        <v>757494</v>
      </c>
      <c r="K747">
        <v>100340</v>
      </c>
      <c r="L747" s="3">
        <v>-1</v>
      </c>
      <c r="M747" s="3">
        <v>300</v>
      </c>
    </row>
    <row r="748" spans="3:13" x14ac:dyDescent="0.2">
      <c r="C748">
        <v>1129</v>
      </c>
      <c r="D748">
        <v>39.002498000000003</v>
      </c>
      <c r="E748">
        <v>-77.097301000000002</v>
      </c>
      <c r="F748">
        <v>232</v>
      </c>
      <c r="G748">
        <v>5.5510999999999999</v>
      </c>
      <c r="I748" t="s">
        <v>137</v>
      </c>
      <c r="J748">
        <v>757494</v>
      </c>
      <c r="K748">
        <v>100342</v>
      </c>
      <c r="L748" s="3">
        <v>-1</v>
      </c>
      <c r="M748" s="3">
        <v>300</v>
      </c>
    </row>
    <row r="749" spans="3:13" x14ac:dyDescent="0.2">
      <c r="C749">
        <v>1129</v>
      </c>
      <c r="D749">
        <v>39.004348</v>
      </c>
      <c r="E749">
        <v>-77.097481999999999</v>
      </c>
      <c r="F749">
        <v>233</v>
      </c>
      <c r="G749">
        <v>5.6794000000000002</v>
      </c>
      <c r="I749" t="s">
        <v>137</v>
      </c>
      <c r="J749">
        <v>102362</v>
      </c>
      <c r="K749">
        <v>102804</v>
      </c>
      <c r="L749" s="3">
        <v>-1</v>
      </c>
      <c r="M749" s="3">
        <v>347</v>
      </c>
    </row>
    <row r="750" spans="3:13" x14ac:dyDescent="0.2">
      <c r="C750">
        <v>1129</v>
      </c>
      <c r="D750">
        <v>39.004759</v>
      </c>
      <c r="E750">
        <v>-77.097532999999999</v>
      </c>
      <c r="F750">
        <v>234</v>
      </c>
      <c r="G750">
        <v>5.7077999999999998</v>
      </c>
      <c r="I750" t="s">
        <v>137</v>
      </c>
      <c r="J750">
        <v>102362</v>
      </c>
      <c r="K750">
        <v>756870</v>
      </c>
      <c r="L750" s="3">
        <v>-1</v>
      </c>
      <c r="M750" s="3">
        <v>347</v>
      </c>
    </row>
    <row r="751" spans="3:13" x14ac:dyDescent="0.2">
      <c r="C751">
        <v>1129</v>
      </c>
      <c r="D751">
        <v>39.004928999999997</v>
      </c>
      <c r="E751">
        <v>-77.097551999999993</v>
      </c>
      <c r="F751">
        <v>235</v>
      </c>
      <c r="G751">
        <v>5.7195</v>
      </c>
      <c r="I751" t="s">
        <v>137</v>
      </c>
      <c r="J751">
        <v>102362</v>
      </c>
      <c r="K751">
        <v>757321</v>
      </c>
      <c r="L751" s="3">
        <v>-1</v>
      </c>
      <c r="M751" s="3">
        <v>347</v>
      </c>
    </row>
    <row r="752" spans="3:13" x14ac:dyDescent="0.2">
      <c r="C752">
        <v>1129</v>
      </c>
      <c r="D752">
        <v>39.004908999999998</v>
      </c>
      <c r="E752">
        <v>-77.098533000000003</v>
      </c>
      <c r="F752">
        <v>236</v>
      </c>
      <c r="G752">
        <v>5.7721999999999998</v>
      </c>
      <c r="I752" t="s">
        <v>137</v>
      </c>
      <c r="J752">
        <v>102365</v>
      </c>
      <c r="K752">
        <v>102367</v>
      </c>
      <c r="L752" s="3">
        <v>-1</v>
      </c>
      <c r="M752" s="3">
        <v>347</v>
      </c>
    </row>
    <row r="753" spans="3:13" x14ac:dyDescent="0.2">
      <c r="C753">
        <v>1129</v>
      </c>
      <c r="D753">
        <v>39.005178000000001</v>
      </c>
      <c r="E753">
        <v>-77.098533000000003</v>
      </c>
      <c r="F753">
        <v>237</v>
      </c>
      <c r="G753">
        <v>5.7907000000000002</v>
      </c>
      <c r="I753" t="s">
        <v>137</v>
      </c>
      <c r="J753">
        <v>102365</v>
      </c>
      <c r="K753">
        <v>757321</v>
      </c>
      <c r="L753" s="3">
        <v>-1</v>
      </c>
      <c r="M753" s="3">
        <v>347</v>
      </c>
    </row>
    <row r="754" spans="3:13" x14ac:dyDescent="0.2">
      <c r="C754">
        <v>1129</v>
      </c>
      <c r="D754">
        <v>39.005437999999998</v>
      </c>
      <c r="E754">
        <v>-77.098572000000004</v>
      </c>
      <c r="F754">
        <v>238</v>
      </c>
      <c r="G754">
        <v>5.8087</v>
      </c>
      <c r="I754" t="s">
        <v>137</v>
      </c>
      <c r="J754">
        <v>102367</v>
      </c>
      <c r="K754">
        <v>102365</v>
      </c>
      <c r="L754" s="3">
        <v>-1</v>
      </c>
      <c r="M754" s="3">
        <v>347</v>
      </c>
    </row>
    <row r="755" spans="3:13" x14ac:dyDescent="0.2">
      <c r="C755">
        <v>1129</v>
      </c>
      <c r="D755">
        <v>39.006098999999999</v>
      </c>
      <c r="E755">
        <v>-77.09881</v>
      </c>
      <c r="F755">
        <v>239</v>
      </c>
      <c r="G755">
        <v>5.8560999999999996</v>
      </c>
      <c r="I755" t="s">
        <v>137</v>
      </c>
      <c r="J755">
        <v>102367</v>
      </c>
      <c r="K755">
        <v>102368</v>
      </c>
      <c r="L755" s="3">
        <v>-1</v>
      </c>
      <c r="M755" s="3">
        <v>347</v>
      </c>
    </row>
    <row r="756" spans="3:13" x14ac:dyDescent="0.2">
      <c r="C756">
        <v>1129</v>
      </c>
      <c r="D756">
        <v>39.006090999999998</v>
      </c>
      <c r="E756">
        <v>-77.098842000000005</v>
      </c>
      <c r="F756">
        <v>240</v>
      </c>
      <c r="G756">
        <v>5.8578000000000001</v>
      </c>
      <c r="I756" t="s">
        <v>137</v>
      </c>
      <c r="J756">
        <v>102368</v>
      </c>
      <c r="K756">
        <v>102367</v>
      </c>
      <c r="L756" s="3">
        <v>-1</v>
      </c>
      <c r="M756" s="3">
        <v>347</v>
      </c>
    </row>
    <row r="757" spans="3:13" x14ac:dyDescent="0.2">
      <c r="C757">
        <v>1129</v>
      </c>
      <c r="D757">
        <v>39.005918000000001</v>
      </c>
      <c r="E757">
        <v>-77.099500000000006</v>
      </c>
      <c r="F757">
        <v>241</v>
      </c>
      <c r="G757">
        <v>5.8948999999999998</v>
      </c>
      <c r="I757" t="s">
        <v>137</v>
      </c>
      <c r="J757">
        <v>102368</v>
      </c>
      <c r="K757">
        <v>102369</v>
      </c>
      <c r="L757" s="3">
        <v>-1</v>
      </c>
      <c r="M757" s="3">
        <v>347</v>
      </c>
    </row>
    <row r="758" spans="3:13" x14ac:dyDescent="0.2">
      <c r="C758">
        <v>1129</v>
      </c>
      <c r="D758">
        <v>39.005797000000001</v>
      </c>
      <c r="E758">
        <v>-77.099970999999996</v>
      </c>
      <c r="F758">
        <v>242</v>
      </c>
      <c r="G758">
        <v>5.9214000000000002</v>
      </c>
      <c r="I758" t="s">
        <v>137</v>
      </c>
      <c r="J758">
        <v>102369</v>
      </c>
      <c r="K758">
        <v>102371</v>
      </c>
      <c r="L758" s="3">
        <v>-1</v>
      </c>
      <c r="M758" s="3">
        <v>347</v>
      </c>
    </row>
    <row r="759" spans="3:13" x14ac:dyDescent="0.2">
      <c r="C759">
        <v>1129</v>
      </c>
      <c r="D759">
        <v>39.005761999999997</v>
      </c>
      <c r="E759">
        <v>-77.100165000000004</v>
      </c>
      <c r="F759">
        <v>243</v>
      </c>
      <c r="G759">
        <v>5.9320000000000004</v>
      </c>
      <c r="I759" t="s">
        <v>137</v>
      </c>
      <c r="J759">
        <v>102369</v>
      </c>
      <c r="K759">
        <v>102810</v>
      </c>
      <c r="L759" s="3">
        <v>-1</v>
      </c>
      <c r="M759" s="3">
        <v>347</v>
      </c>
    </row>
    <row r="760" spans="3:13" x14ac:dyDescent="0.2">
      <c r="C760">
        <v>1129</v>
      </c>
      <c r="D760">
        <v>39.005833000000003</v>
      </c>
      <c r="E760">
        <v>-77.100182000000004</v>
      </c>
      <c r="F760">
        <v>244</v>
      </c>
      <c r="G760">
        <v>5.9368999999999996</v>
      </c>
      <c r="I760" t="s">
        <v>137</v>
      </c>
      <c r="J760">
        <v>102369</v>
      </c>
      <c r="K760">
        <v>103129</v>
      </c>
      <c r="L760" s="3">
        <v>-1</v>
      </c>
      <c r="M760" s="3">
        <v>347</v>
      </c>
    </row>
    <row r="761" spans="3:13" x14ac:dyDescent="0.2">
      <c r="C761">
        <v>1129</v>
      </c>
      <c r="D761">
        <v>39.005729000000002</v>
      </c>
      <c r="E761">
        <v>-77.100363000000002</v>
      </c>
      <c r="F761">
        <v>245</v>
      </c>
      <c r="G761">
        <v>5.9489000000000001</v>
      </c>
      <c r="I761" t="s">
        <v>137</v>
      </c>
      <c r="J761">
        <v>102371</v>
      </c>
      <c r="K761">
        <v>102369</v>
      </c>
      <c r="L761" s="3">
        <v>-1</v>
      </c>
      <c r="M761" s="3">
        <v>347</v>
      </c>
    </row>
    <row r="762" spans="3:13" x14ac:dyDescent="0.2">
      <c r="C762">
        <v>1129</v>
      </c>
      <c r="D762">
        <v>39.005648999999998</v>
      </c>
      <c r="E762">
        <v>-77.100921</v>
      </c>
      <c r="F762">
        <v>246</v>
      </c>
      <c r="G762">
        <v>5.9791999999999996</v>
      </c>
      <c r="I762" t="s">
        <v>137</v>
      </c>
      <c r="J762">
        <v>102371</v>
      </c>
      <c r="K762">
        <v>102372</v>
      </c>
      <c r="L762" s="3">
        <v>-1</v>
      </c>
      <c r="M762" s="3">
        <v>347</v>
      </c>
    </row>
    <row r="763" spans="3:13" x14ac:dyDescent="0.2">
      <c r="C763">
        <v>1129</v>
      </c>
      <c r="D763">
        <v>39.005597000000002</v>
      </c>
      <c r="E763">
        <v>-77.101552999999996</v>
      </c>
      <c r="F763">
        <v>247</v>
      </c>
      <c r="G763">
        <v>6.0133000000000001</v>
      </c>
      <c r="I763" t="s">
        <v>137</v>
      </c>
      <c r="J763">
        <v>102372</v>
      </c>
      <c r="K763">
        <v>102371</v>
      </c>
      <c r="L763" s="3">
        <v>-1</v>
      </c>
      <c r="M763" s="3">
        <v>347</v>
      </c>
    </row>
    <row r="764" spans="3:13" x14ac:dyDescent="0.2">
      <c r="C764">
        <v>1129</v>
      </c>
      <c r="D764">
        <v>39.005558999999998</v>
      </c>
      <c r="E764">
        <v>-77.102051000000003</v>
      </c>
      <c r="F764">
        <v>248</v>
      </c>
      <c r="G764">
        <v>6.04</v>
      </c>
      <c r="I764" t="s">
        <v>137</v>
      </c>
      <c r="J764">
        <v>102372</v>
      </c>
      <c r="K764">
        <v>102373</v>
      </c>
      <c r="L764" s="3">
        <v>-1</v>
      </c>
      <c r="M764" s="3">
        <v>347</v>
      </c>
    </row>
    <row r="765" spans="3:13" x14ac:dyDescent="0.2">
      <c r="C765">
        <v>1129</v>
      </c>
      <c r="D765">
        <v>39.005518000000002</v>
      </c>
      <c r="E765">
        <v>-77.102591000000004</v>
      </c>
      <c r="F765">
        <v>249</v>
      </c>
      <c r="G765">
        <v>6.0689000000000002</v>
      </c>
      <c r="I765" t="s">
        <v>137</v>
      </c>
      <c r="J765">
        <v>102372</v>
      </c>
      <c r="K765">
        <v>757409</v>
      </c>
      <c r="L765" s="3">
        <v>-1</v>
      </c>
      <c r="M765" s="3">
        <v>347</v>
      </c>
    </row>
    <row r="766" spans="3:13" x14ac:dyDescent="0.2">
      <c r="C766">
        <v>1129</v>
      </c>
      <c r="D766">
        <v>39.005518000000002</v>
      </c>
      <c r="E766">
        <v>-77.102637000000001</v>
      </c>
      <c r="F766">
        <v>250</v>
      </c>
      <c r="G766">
        <v>6.0713999999999997</v>
      </c>
      <c r="I766" t="s">
        <v>137</v>
      </c>
      <c r="J766">
        <v>102372</v>
      </c>
      <c r="K766">
        <v>757457</v>
      </c>
      <c r="L766" s="3">
        <v>-1</v>
      </c>
      <c r="M766" s="3">
        <v>347</v>
      </c>
    </row>
    <row r="767" spans="3:13" x14ac:dyDescent="0.2">
      <c r="C767">
        <v>1129</v>
      </c>
      <c r="D767">
        <v>38.992939999999997</v>
      </c>
      <c r="E767">
        <v>-77.097226000000006</v>
      </c>
      <c r="F767">
        <v>251</v>
      </c>
      <c r="G767">
        <v>6.9907000000000004</v>
      </c>
      <c r="I767" t="s">
        <v>137</v>
      </c>
      <c r="J767">
        <v>102373</v>
      </c>
      <c r="K767">
        <v>102372</v>
      </c>
      <c r="L767" s="3">
        <v>-1</v>
      </c>
      <c r="M767" s="3">
        <v>347</v>
      </c>
    </row>
    <row r="768" spans="3:13" x14ac:dyDescent="0.2">
      <c r="C768">
        <v>1129</v>
      </c>
      <c r="D768">
        <v>38.992707000000003</v>
      </c>
      <c r="E768">
        <v>-77.097031000000001</v>
      </c>
      <c r="F768">
        <v>252</v>
      </c>
      <c r="G768">
        <v>7.0098000000000003</v>
      </c>
      <c r="I768" t="s">
        <v>137</v>
      </c>
      <c r="J768">
        <v>102373</v>
      </c>
      <c r="K768">
        <v>755836</v>
      </c>
      <c r="L768" s="3">
        <v>-1</v>
      </c>
      <c r="M768" s="3">
        <v>347</v>
      </c>
    </row>
    <row r="769" spans="3:13" x14ac:dyDescent="0.2">
      <c r="C769">
        <v>1129</v>
      </c>
      <c r="D769">
        <v>38.992699000000002</v>
      </c>
      <c r="E769">
        <v>-77.097031000000001</v>
      </c>
      <c r="F769">
        <v>253</v>
      </c>
      <c r="G769">
        <v>7.0103999999999997</v>
      </c>
      <c r="I769" t="s">
        <v>137</v>
      </c>
      <c r="J769">
        <v>102375</v>
      </c>
      <c r="K769">
        <v>102377</v>
      </c>
      <c r="L769" s="3">
        <v>-1</v>
      </c>
      <c r="M769" s="3">
        <v>347</v>
      </c>
    </row>
    <row r="770" spans="3:13" x14ac:dyDescent="0.2">
      <c r="C770">
        <v>1129</v>
      </c>
      <c r="D770">
        <v>38.992556</v>
      </c>
      <c r="E770">
        <v>-77.098510000000005</v>
      </c>
      <c r="F770">
        <v>254</v>
      </c>
      <c r="G770">
        <v>7.0903</v>
      </c>
      <c r="I770" t="s">
        <v>137</v>
      </c>
      <c r="J770">
        <v>102375</v>
      </c>
      <c r="K770">
        <v>755836</v>
      </c>
      <c r="L770" s="3">
        <v>-1</v>
      </c>
      <c r="M770" s="3">
        <v>347</v>
      </c>
    </row>
    <row r="771" spans="3:13" x14ac:dyDescent="0.2">
      <c r="C771">
        <v>1129</v>
      </c>
      <c r="D771">
        <v>38.992595000000001</v>
      </c>
      <c r="E771">
        <v>-77.098513999999994</v>
      </c>
      <c r="F771">
        <v>255</v>
      </c>
      <c r="G771">
        <v>7.093</v>
      </c>
      <c r="I771" t="s">
        <v>137</v>
      </c>
      <c r="J771">
        <v>102377</v>
      </c>
      <c r="K771">
        <v>102368</v>
      </c>
      <c r="L771" s="3">
        <v>-1</v>
      </c>
      <c r="M771" s="3">
        <v>347</v>
      </c>
    </row>
    <row r="772" spans="3:13" x14ac:dyDescent="0.2">
      <c r="C772">
        <v>1129</v>
      </c>
      <c r="D772">
        <v>38.992362</v>
      </c>
      <c r="E772">
        <v>-77.101104000000007</v>
      </c>
      <c r="F772">
        <v>256</v>
      </c>
      <c r="G772">
        <v>7.2328000000000001</v>
      </c>
      <c r="I772" t="s">
        <v>137</v>
      </c>
      <c r="J772">
        <v>102377</v>
      </c>
      <c r="K772">
        <v>102371</v>
      </c>
      <c r="L772" s="3">
        <v>-1</v>
      </c>
      <c r="M772" s="3">
        <v>347</v>
      </c>
    </row>
    <row r="773" spans="3:13" x14ac:dyDescent="0.2">
      <c r="C773">
        <v>1129</v>
      </c>
      <c r="D773">
        <v>38.992227</v>
      </c>
      <c r="E773">
        <v>-77.101930999999993</v>
      </c>
      <c r="F773">
        <v>257</v>
      </c>
      <c r="G773">
        <v>7.2779999999999996</v>
      </c>
      <c r="I773" t="s">
        <v>137</v>
      </c>
      <c r="J773">
        <v>102804</v>
      </c>
      <c r="K773">
        <v>102372</v>
      </c>
      <c r="L773" s="3">
        <v>-1</v>
      </c>
      <c r="M773" s="3">
        <v>347</v>
      </c>
    </row>
    <row r="774" spans="3:13" x14ac:dyDescent="0.2">
      <c r="C774">
        <v>1129</v>
      </c>
      <c r="D774">
        <v>38.992170000000002</v>
      </c>
      <c r="E774">
        <v>-77.102160999999995</v>
      </c>
      <c r="F774">
        <v>258</v>
      </c>
      <c r="G774">
        <v>7.2908999999999997</v>
      </c>
      <c r="I774" t="s">
        <v>137</v>
      </c>
      <c r="J774">
        <v>102804</v>
      </c>
      <c r="K774">
        <v>102805</v>
      </c>
      <c r="L774" s="3">
        <v>-1</v>
      </c>
      <c r="M774" s="3">
        <v>347</v>
      </c>
    </row>
    <row r="775" spans="3:13" x14ac:dyDescent="0.2">
      <c r="C775">
        <v>1129</v>
      </c>
      <c r="D775">
        <v>38.992099000000003</v>
      </c>
      <c r="E775">
        <v>-77.102312999999995</v>
      </c>
      <c r="F775">
        <v>259</v>
      </c>
      <c r="G775">
        <v>7.3003999999999998</v>
      </c>
      <c r="I775" t="s">
        <v>137</v>
      </c>
      <c r="J775">
        <v>102805</v>
      </c>
      <c r="K775">
        <v>102804</v>
      </c>
      <c r="L775" s="3">
        <v>-1</v>
      </c>
      <c r="M775" s="3">
        <v>347</v>
      </c>
    </row>
    <row r="776" spans="3:13" x14ac:dyDescent="0.2">
      <c r="C776">
        <v>1129</v>
      </c>
      <c r="D776">
        <v>38.991996999999998</v>
      </c>
      <c r="E776">
        <v>-77.102452</v>
      </c>
      <c r="F776">
        <v>260</v>
      </c>
      <c r="G776">
        <v>7.3103999999999996</v>
      </c>
      <c r="I776" t="s">
        <v>137</v>
      </c>
      <c r="J776">
        <v>102805</v>
      </c>
      <c r="K776">
        <v>755099</v>
      </c>
      <c r="L776" s="3">
        <v>-1</v>
      </c>
      <c r="M776" s="3">
        <v>347</v>
      </c>
    </row>
    <row r="777" spans="3:13" x14ac:dyDescent="0.2">
      <c r="C777">
        <v>1129</v>
      </c>
      <c r="D777">
        <v>38.991909999999997</v>
      </c>
      <c r="E777">
        <v>-77.102530999999999</v>
      </c>
      <c r="F777">
        <v>261</v>
      </c>
      <c r="G777">
        <v>7.3175999999999997</v>
      </c>
      <c r="I777" t="s">
        <v>137</v>
      </c>
      <c r="J777">
        <v>102805</v>
      </c>
      <c r="K777">
        <v>757409</v>
      </c>
      <c r="L777" s="3">
        <v>-1</v>
      </c>
      <c r="M777" s="3">
        <v>347</v>
      </c>
    </row>
    <row r="778" spans="3:13" x14ac:dyDescent="0.2">
      <c r="C778">
        <v>1129</v>
      </c>
      <c r="D778">
        <v>38.991914999999999</v>
      </c>
      <c r="E778">
        <v>-77.102583999999993</v>
      </c>
      <c r="F778">
        <v>262</v>
      </c>
      <c r="G778">
        <v>7.3205</v>
      </c>
      <c r="I778" t="s">
        <v>137</v>
      </c>
      <c r="J778">
        <v>102810</v>
      </c>
      <c r="K778">
        <v>102369</v>
      </c>
      <c r="L778" s="3">
        <v>-1</v>
      </c>
      <c r="M778" s="3">
        <v>347</v>
      </c>
    </row>
    <row r="779" spans="3:13" x14ac:dyDescent="0.2">
      <c r="C779">
        <v>1129</v>
      </c>
      <c r="D779">
        <v>38.991909999999997</v>
      </c>
      <c r="E779">
        <v>-77.102530999999999</v>
      </c>
      <c r="F779">
        <v>263</v>
      </c>
      <c r="G779">
        <v>7.3232999999999997</v>
      </c>
      <c r="I779" t="s">
        <v>137</v>
      </c>
      <c r="J779">
        <v>102810</v>
      </c>
      <c r="K779">
        <v>755099</v>
      </c>
      <c r="L779" s="3">
        <v>-1</v>
      </c>
      <c r="M779" s="3">
        <v>347</v>
      </c>
    </row>
    <row r="780" spans="3:13" x14ac:dyDescent="0.2">
      <c r="C780">
        <v>1129</v>
      </c>
      <c r="D780">
        <v>38.990898000000001</v>
      </c>
      <c r="E780">
        <v>-77.103149999999999</v>
      </c>
      <c r="F780">
        <v>264</v>
      </c>
      <c r="G780">
        <v>7.4004000000000003</v>
      </c>
      <c r="I780" t="s">
        <v>137</v>
      </c>
      <c r="J780">
        <v>103129</v>
      </c>
      <c r="K780">
        <v>102367</v>
      </c>
      <c r="L780" s="3">
        <v>-1</v>
      </c>
      <c r="M780" s="3">
        <v>347</v>
      </c>
    </row>
    <row r="781" spans="3:13" x14ac:dyDescent="0.2">
      <c r="C781">
        <v>1129</v>
      </c>
      <c r="D781">
        <v>38.990667999999999</v>
      </c>
      <c r="E781">
        <v>-77.103290999999999</v>
      </c>
      <c r="F781">
        <v>265</v>
      </c>
      <c r="G781">
        <v>7.4177999999999997</v>
      </c>
      <c r="I781" t="s">
        <v>137</v>
      </c>
      <c r="J781">
        <v>755099</v>
      </c>
      <c r="K781">
        <v>102805</v>
      </c>
      <c r="L781" s="3">
        <v>-1</v>
      </c>
      <c r="M781" s="3">
        <v>347</v>
      </c>
    </row>
    <row r="782" spans="3:13" x14ac:dyDescent="0.2">
      <c r="C782">
        <v>1129</v>
      </c>
      <c r="D782">
        <v>38.990309000000003</v>
      </c>
      <c r="E782">
        <v>-77.103521000000001</v>
      </c>
      <c r="F782">
        <v>266</v>
      </c>
      <c r="G782">
        <v>7.4452999999999996</v>
      </c>
      <c r="I782" t="s">
        <v>137</v>
      </c>
      <c r="J782">
        <v>755099</v>
      </c>
      <c r="K782">
        <v>102810</v>
      </c>
      <c r="L782" s="3">
        <v>-1</v>
      </c>
      <c r="M782" s="3">
        <v>347</v>
      </c>
    </row>
    <row r="783" spans="3:13" x14ac:dyDescent="0.2">
      <c r="C783">
        <v>1129</v>
      </c>
      <c r="D783">
        <v>38.990309000000003</v>
      </c>
      <c r="E783">
        <v>-77.103527999999997</v>
      </c>
      <c r="F783">
        <v>267</v>
      </c>
      <c r="G783">
        <v>7.4455999999999998</v>
      </c>
      <c r="I783" t="s">
        <v>137</v>
      </c>
      <c r="J783">
        <v>755836</v>
      </c>
      <c r="K783">
        <v>102373</v>
      </c>
      <c r="L783" s="3">
        <v>-1</v>
      </c>
      <c r="M783" s="3">
        <v>347</v>
      </c>
    </row>
    <row r="784" spans="3:13" x14ac:dyDescent="0.2">
      <c r="C784">
        <v>1129</v>
      </c>
      <c r="D784">
        <v>38.990837999999997</v>
      </c>
      <c r="E784">
        <v>-77.104381000000004</v>
      </c>
      <c r="F784">
        <v>268</v>
      </c>
      <c r="G784">
        <v>7.5045000000000002</v>
      </c>
      <c r="I784" t="s">
        <v>137</v>
      </c>
      <c r="J784">
        <v>755836</v>
      </c>
      <c r="K784">
        <v>102375</v>
      </c>
      <c r="L784" s="3">
        <v>-1</v>
      </c>
      <c r="M784" s="3">
        <v>347</v>
      </c>
    </row>
    <row r="785" spans="3:13" x14ac:dyDescent="0.2">
      <c r="C785">
        <v>1129</v>
      </c>
      <c r="D785">
        <v>38.991112000000001</v>
      </c>
      <c r="E785">
        <v>-77.104836000000006</v>
      </c>
      <c r="F785">
        <v>269</v>
      </c>
      <c r="G785">
        <v>7.5355999999999996</v>
      </c>
      <c r="I785" t="s">
        <v>137</v>
      </c>
      <c r="J785">
        <v>756870</v>
      </c>
      <c r="K785">
        <v>102362</v>
      </c>
      <c r="L785" s="3">
        <v>-1</v>
      </c>
      <c r="M785" s="3">
        <v>347</v>
      </c>
    </row>
    <row r="786" spans="3:13" x14ac:dyDescent="0.2">
      <c r="C786">
        <v>1129</v>
      </c>
      <c r="D786">
        <v>38.991148000000003</v>
      </c>
      <c r="E786">
        <v>-77.104800999999995</v>
      </c>
      <c r="F786">
        <v>270</v>
      </c>
      <c r="G786">
        <v>7.5385999999999997</v>
      </c>
      <c r="I786" t="s">
        <v>137</v>
      </c>
      <c r="J786">
        <v>757321</v>
      </c>
      <c r="K786">
        <v>102362</v>
      </c>
      <c r="L786" s="3">
        <v>-1</v>
      </c>
      <c r="M786" s="3">
        <v>347</v>
      </c>
    </row>
    <row r="787" spans="3:13" x14ac:dyDescent="0.2">
      <c r="C787">
        <v>1129</v>
      </c>
      <c r="D787">
        <v>38.991177999999998</v>
      </c>
      <c r="E787">
        <v>-77.104940999999997</v>
      </c>
      <c r="F787">
        <v>271</v>
      </c>
      <c r="G787">
        <v>7.5464000000000002</v>
      </c>
      <c r="I787" t="s">
        <v>137</v>
      </c>
      <c r="J787">
        <v>757321</v>
      </c>
      <c r="K787">
        <v>102365</v>
      </c>
      <c r="L787" s="3">
        <v>-1</v>
      </c>
      <c r="M787" s="3">
        <v>347</v>
      </c>
    </row>
    <row r="788" spans="3:13" x14ac:dyDescent="0.2">
      <c r="C788">
        <v>1129</v>
      </c>
      <c r="D788">
        <v>38.991529</v>
      </c>
      <c r="E788">
        <v>-77.105532999999994</v>
      </c>
      <c r="F788">
        <v>272</v>
      </c>
      <c r="G788">
        <v>7.5865999999999998</v>
      </c>
      <c r="I788" t="s">
        <v>137</v>
      </c>
      <c r="J788">
        <v>757409</v>
      </c>
      <c r="K788">
        <v>102372</v>
      </c>
      <c r="L788" s="3">
        <v>-1</v>
      </c>
      <c r="M788" s="3">
        <v>347</v>
      </c>
    </row>
    <row r="789" spans="3:13" x14ac:dyDescent="0.2">
      <c r="C789">
        <v>1129</v>
      </c>
      <c r="D789">
        <v>38.991759000000002</v>
      </c>
      <c r="E789">
        <v>-77.105881999999994</v>
      </c>
      <c r="F789">
        <v>273</v>
      </c>
      <c r="G789">
        <v>7.6112000000000002</v>
      </c>
      <c r="I789" t="s">
        <v>137</v>
      </c>
      <c r="J789">
        <v>757409</v>
      </c>
      <c r="K789">
        <v>102805</v>
      </c>
      <c r="L789" s="3">
        <v>-1</v>
      </c>
      <c r="M789" s="3">
        <v>347</v>
      </c>
    </row>
    <row r="790" spans="3:13" x14ac:dyDescent="0.2">
      <c r="C790">
        <v>1129</v>
      </c>
      <c r="D790">
        <v>38.991978000000003</v>
      </c>
      <c r="E790">
        <v>-77.106221000000005</v>
      </c>
      <c r="F790">
        <v>274</v>
      </c>
      <c r="G790">
        <v>7.6348000000000003</v>
      </c>
      <c r="I790" t="s">
        <v>137</v>
      </c>
      <c r="J790">
        <v>757457</v>
      </c>
      <c r="K790">
        <v>102362</v>
      </c>
      <c r="L790" s="3">
        <v>-1</v>
      </c>
      <c r="M790" s="3">
        <v>347</v>
      </c>
    </row>
    <row r="791" spans="3:13" x14ac:dyDescent="0.2">
      <c r="C791">
        <v>1129</v>
      </c>
      <c r="D791">
        <v>38.992006000000003</v>
      </c>
      <c r="E791">
        <v>-77.106267000000003</v>
      </c>
      <c r="F791">
        <v>275</v>
      </c>
      <c r="G791">
        <v>7.6379000000000001</v>
      </c>
      <c r="I791" t="s">
        <v>137</v>
      </c>
      <c r="J791">
        <v>34</v>
      </c>
      <c r="K791">
        <v>113740</v>
      </c>
      <c r="L791" s="3">
        <v>-1</v>
      </c>
      <c r="M791" s="3">
        <v>447</v>
      </c>
    </row>
    <row r="792" spans="3:13" x14ac:dyDescent="0.2">
      <c r="C792">
        <v>1129</v>
      </c>
      <c r="D792">
        <v>38.991985999999997</v>
      </c>
      <c r="E792">
        <v>-77.106288000000006</v>
      </c>
      <c r="F792">
        <v>276</v>
      </c>
      <c r="G792">
        <v>7.6395999999999997</v>
      </c>
      <c r="I792" t="s">
        <v>137</v>
      </c>
      <c r="J792">
        <v>113575</v>
      </c>
      <c r="K792">
        <v>113580</v>
      </c>
      <c r="L792" s="3">
        <v>-1</v>
      </c>
      <c r="M792" s="3">
        <v>447</v>
      </c>
    </row>
    <row r="793" spans="3:13" x14ac:dyDescent="0.2">
      <c r="C793">
        <v>1129</v>
      </c>
      <c r="D793">
        <v>38.992528999999998</v>
      </c>
      <c r="E793">
        <v>-77.107043000000004</v>
      </c>
      <c r="F793">
        <v>277</v>
      </c>
      <c r="G793">
        <v>7.6951000000000001</v>
      </c>
      <c r="I793" t="s">
        <v>137</v>
      </c>
      <c r="J793">
        <v>113580</v>
      </c>
      <c r="K793">
        <v>113575</v>
      </c>
      <c r="L793" s="3">
        <v>-1</v>
      </c>
      <c r="M793" s="3">
        <v>447</v>
      </c>
    </row>
    <row r="794" spans="3:13" x14ac:dyDescent="0.2">
      <c r="C794">
        <v>1129</v>
      </c>
      <c r="D794">
        <v>38.992899000000001</v>
      </c>
      <c r="E794">
        <v>-77.107552999999996</v>
      </c>
      <c r="F794">
        <v>278</v>
      </c>
      <c r="G794">
        <v>7.7325999999999997</v>
      </c>
      <c r="I794" t="s">
        <v>137</v>
      </c>
      <c r="J794">
        <v>113580</v>
      </c>
      <c r="K794">
        <v>113581</v>
      </c>
      <c r="L794" s="3">
        <v>-1</v>
      </c>
      <c r="M794" s="3">
        <v>447</v>
      </c>
    </row>
    <row r="795" spans="3:13" x14ac:dyDescent="0.2">
      <c r="C795">
        <v>1129</v>
      </c>
      <c r="D795">
        <v>38.992998</v>
      </c>
      <c r="E795">
        <v>-77.107671999999994</v>
      </c>
      <c r="F795">
        <v>279</v>
      </c>
      <c r="G795">
        <v>7.7419000000000002</v>
      </c>
      <c r="I795" t="s">
        <v>137</v>
      </c>
      <c r="J795">
        <v>113580</v>
      </c>
      <c r="K795">
        <v>113592</v>
      </c>
      <c r="L795" s="3">
        <v>-1</v>
      </c>
      <c r="M795" s="3">
        <v>447</v>
      </c>
    </row>
    <row r="796" spans="3:13" x14ac:dyDescent="0.2">
      <c r="C796">
        <v>1129</v>
      </c>
      <c r="D796">
        <v>38.993032999999997</v>
      </c>
      <c r="E796">
        <v>-77.107716999999994</v>
      </c>
      <c r="F796">
        <v>280</v>
      </c>
      <c r="G796">
        <v>7.7453000000000003</v>
      </c>
      <c r="I796" t="s">
        <v>137</v>
      </c>
      <c r="J796">
        <v>113580</v>
      </c>
      <c r="K796">
        <v>114222</v>
      </c>
      <c r="L796" s="3">
        <v>-1</v>
      </c>
      <c r="M796" s="3">
        <v>447</v>
      </c>
    </row>
    <row r="797" spans="3:13" x14ac:dyDescent="0.2">
      <c r="C797">
        <v>1129</v>
      </c>
      <c r="D797">
        <v>38.993017000000002</v>
      </c>
      <c r="E797">
        <v>-77.107737999999998</v>
      </c>
      <c r="F797">
        <v>281</v>
      </c>
      <c r="G797">
        <v>7.7468000000000004</v>
      </c>
      <c r="I797" t="s">
        <v>137</v>
      </c>
      <c r="J797">
        <v>113581</v>
      </c>
      <c r="K797">
        <v>113580</v>
      </c>
      <c r="L797" s="3">
        <v>-1</v>
      </c>
      <c r="M797" s="3">
        <v>447</v>
      </c>
    </row>
    <row r="798" spans="3:13" x14ac:dyDescent="0.2">
      <c r="C798">
        <v>1129</v>
      </c>
      <c r="D798">
        <v>38.993068999999998</v>
      </c>
      <c r="E798">
        <v>-77.107761999999994</v>
      </c>
      <c r="F798">
        <v>282</v>
      </c>
      <c r="G798">
        <v>7.7506000000000004</v>
      </c>
      <c r="I798" t="s">
        <v>137</v>
      </c>
      <c r="J798">
        <v>113581</v>
      </c>
      <c r="K798">
        <v>755589</v>
      </c>
      <c r="L798" s="3">
        <v>-1</v>
      </c>
      <c r="M798" s="3">
        <v>447</v>
      </c>
    </row>
    <row r="799" spans="3:13" x14ac:dyDescent="0.2">
      <c r="C799">
        <v>1129</v>
      </c>
      <c r="D799">
        <v>38.993428000000002</v>
      </c>
      <c r="E799">
        <v>-77.108092999999997</v>
      </c>
      <c r="F799">
        <v>283</v>
      </c>
      <c r="G799">
        <v>7.7811000000000003</v>
      </c>
      <c r="I799" t="s">
        <v>137</v>
      </c>
      <c r="J799">
        <v>113586</v>
      </c>
      <c r="K799">
        <v>755590</v>
      </c>
      <c r="L799" s="3">
        <v>-1</v>
      </c>
      <c r="M799" s="3">
        <v>447</v>
      </c>
    </row>
    <row r="800" spans="3:13" x14ac:dyDescent="0.2">
      <c r="C800">
        <v>1129</v>
      </c>
      <c r="D800">
        <v>38.993597999999999</v>
      </c>
      <c r="E800">
        <v>-77.108221</v>
      </c>
      <c r="F800">
        <v>284</v>
      </c>
      <c r="G800">
        <v>7.7946999999999997</v>
      </c>
      <c r="I800" t="s">
        <v>137</v>
      </c>
      <c r="J800">
        <v>113587</v>
      </c>
      <c r="K800">
        <v>113590</v>
      </c>
      <c r="L800" s="3">
        <v>-1</v>
      </c>
      <c r="M800" s="3">
        <v>447</v>
      </c>
    </row>
    <row r="801" spans="3:13" x14ac:dyDescent="0.2">
      <c r="C801">
        <v>1129</v>
      </c>
      <c r="D801">
        <v>38.993929000000001</v>
      </c>
      <c r="E801">
        <v>-77.108393000000007</v>
      </c>
      <c r="F801">
        <v>285</v>
      </c>
      <c r="G801">
        <v>7.8193000000000001</v>
      </c>
      <c r="I801" t="s">
        <v>137</v>
      </c>
      <c r="J801">
        <v>113587</v>
      </c>
      <c r="K801">
        <v>755590</v>
      </c>
      <c r="L801" s="3">
        <v>-1</v>
      </c>
      <c r="M801" s="3">
        <v>447</v>
      </c>
    </row>
    <row r="802" spans="3:13" x14ac:dyDescent="0.2">
      <c r="C802">
        <v>1129</v>
      </c>
      <c r="D802">
        <v>38.994687999999996</v>
      </c>
      <c r="E802">
        <v>-77.108661999999995</v>
      </c>
      <c r="F802">
        <v>286</v>
      </c>
      <c r="G802">
        <v>7.8738999999999999</v>
      </c>
      <c r="I802" t="s">
        <v>137</v>
      </c>
      <c r="J802">
        <v>113590</v>
      </c>
      <c r="K802">
        <v>113592</v>
      </c>
      <c r="L802" s="3">
        <v>-1</v>
      </c>
      <c r="M802" s="3">
        <v>447</v>
      </c>
    </row>
    <row r="803" spans="3:13" x14ac:dyDescent="0.2">
      <c r="C803">
        <v>1129</v>
      </c>
      <c r="D803">
        <v>38.995137999999997</v>
      </c>
      <c r="E803">
        <v>-77.108772999999999</v>
      </c>
      <c r="F803">
        <v>287</v>
      </c>
      <c r="G803">
        <v>7.9055</v>
      </c>
      <c r="I803" t="s">
        <v>137</v>
      </c>
      <c r="J803">
        <v>113590</v>
      </c>
      <c r="K803">
        <v>113752</v>
      </c>
      <c r="L803" s="3">
        <v>-1</v>
      </c>
      <c r="M803" s="3">
        <v>447</v>
      </c>
    </row>
    <row r="804" spans="3:13" x14ac:dyDescent="0.2">
      <c r="C804">
        <v>1129</v>
      </c>
      <c r="D804">
        <v>38.995126999999997</v>
      </c>
      <c r="E804">
        <v>-77.108823000000001</v>
      </c>
      <c r="F804">
        <v>288</v>
      </c>
      <c r="G804">
        <v>7.9081000000000001</v>
      </c>
      <c r="I804" t="s">
        <v>137</v>
      </c>
      <c r="J804">
        <v>113592</v>
      </c>
      <c r="K804">
        <v>113580</v>
      </c>
      <c r="L804" s="3">
        <v>-1</v>
      </c>
      <c r="M804" s="3">
        <v>447</v>
      </c>
    </row>
    <row r="805" spans="3:13" x14ac:dyDescent="0.2">
      <c r="C805">
        <v>1129</v>
      </c>
      <c r="D805">
        <v>38.995151</v>
      </c>
      <c r="E805">
        <v>-77.108825999999993</v>
      </c>
      <c r="F805">
        <v>289</v>
      </c>
      <c r="G805">
        <v>7.9097999999999997</v>
      </c>
      <c r="I805" t="s">
        <v>137</v>
      </c>
      <c r="J805">
        <v>113592</v>
      </c>
      <c r="K805">
        <v>113581</v>
      </c>
      <c r="L805" s="3">
        <v>-1</v>
      </c>
      <c r="M805" s="3">
        <v>447</v>
      </c>
    </row>
    <row r="806" spans="3:13" x14ac:dyDescent="0.2">
      <c r="C806">
        <v>1129</v>
      </c>
      <c r="D806">
        <v>38.995137999999997</v>
      </c>
      <c r="E806">
        <v>-77.108772999999999</v>
      </c>
      <c r="F806">
        <v>290</v>
      </c>
      <c r="G806">
        <v>7.9127000000000001</v>
      </c>
      <c r="I806" t="s">
        <v>137</v>
      </c>
      <c r="J806">
        <v>113592</v>
      </c>
      <c r="K806">
        <v>113590</v>
      </c>
      <c r="L806" s="3">
        <v>-1</v>
      </c>
      <c r="M806" s="3">
        <v>447</v>
      </c>
    </row>
    <row r="807" spans="3:13" x14ac:dyDescent="0.2">
      <c r="C807">
        <v>1129</v>
      </c>
      <c r="D807">
        <v>38.995868999999999</v>
      </c>
      <c r="E807">
        <v>-77.108992999999998</v>
      </c>
      <c r="F807">
        <v>291</v>
      </c>
      <c r="G807">
        <v>7.9645999999999999</v>
      </c>
      <c r="I807" t="s">
        <v>137</v>
      </c>
      <c r="J807">
        <v>113735</v>
      </c>
      <c r="K807">
        <v>113737</v>
      </c>
      <c r="L807" s="3">
        <v>-1</v>
      </c>
      <c r="M807" s="3">
        <v>447</v>
      </c>
    </row>
    <row r="808" spans="3:13" x14ac:dyDescent="0.2">
      <c r="C808">
        <v>1129</v>
      </c>
      <c r="D808">
        <v>38.996560000000002</v>
      </c>
      <c r="E808">
        <v>-77.109100999999995</v>
      </c>
      <c r="F808">
        <v>292</v>
      </c>
      <c r="G808">
        <v>8.0127000000000006</v>
      </c>
      <c r="I808" t="s">
        <v>137</v>
      </c>
      <c r="J808">
        <v>113737</v>
      </c>
      <c r="K808">
        <v>113735</v>
      </c>
      <c r="L808" s="3">
        <v>-1</v>
      </c>
      <c r="M808" s="3">
        <v>447</v>
      </c>
    </row>
    <row r="809" spans="3:13" x14ac:dyDescent="0.2">
      <c r="C809">
        <v>1129</v>
      </c>
      <c r="D809">
        <v>38.996575999999997</v>
      </c>
      <c r="E809">
        <v>-77.109076000000002</v>
      </c>
      <c r="F809">
        <v>293</v>
      </c>
      <c r="G809">
        <v>8.0144000000000002</v>
      </c>
      <c r="I809" t="s">
        <v>137</v>
      </c>
      <c r="J809">
        <v>113737</v>
      </c>
      <c r="K809">
        <v>113740</v>
      </c>
      <c r="L809" s="3">
        <v>-1</v>
      </c>
      <c r="M809" s="3">
        <v>447</v>
      </c>
    </row>
    <row r="810" spans="3:13" x14ac:dyDescent="0.2">
      <c r="C810">
        <v>1129</v>
      </c>
      <c r="D810">
        <v>38.996560000000002</v>
      </c>
      <c r="E810">
        <v>-77.109100999999995</v>
      </c>
      <c r="F810">
        <v>294</v>
      </c>
      <c r="G810">
        <v>8.0160999999999998</v>
      </c>
      <c r="I810" t="s">
        <v>137</v>
      </c>
      <c r="J810">
        <v>113740</v>
      </c>
      <c r="K810">
        <v>34</v>
      </c>
      <c r="L810" s="3">
        <v>-1</v>
      </c>
      <c r="M810" s="3">
        <v>447</v>
      </c>
    </row>
    <row r="811" spans="3:13" x14ac:dyDescent="0.2">
      <c r="C811">
        <v>1129</v>
      </c>
      <c r="D811">
        <v>38.998170999999999</v>
      </c>
      <c r="E811">
        <v>-77.109352000000001</v>
      </c>
      <c r="F811">
        <v>295</v>
      </c>
      <c r="G811">
        <v>8.1283999999999992</v>
      </c>
      <c r="I811" t="s">
        <v>137</v>
      </c>
      <c r="J811">
        <v>113740</v>
      </c>
      <c r="K811">
        <v>113743</v>
      </c>
      <c r="L811" s="3">
        <v>-1</v>
      </c>
      <c r="M811" s="3">
        <v>447</v>
      </c>
    </row>
    <row r="812" spans="3:13" x14ac:dyDescent="0.2">
      <c r="C812">
        <v>1129</v>
      </c>
      <c r="D812">
        <v>38.998176999999998</v>
      </c>
      <c r="E812">
        <v>-77.109319999999997</v>
      </c>
      <c r="F812">
        <v>296</v>
      </c>
      <c r="G812">
        <v>8.1301000000000005</v>
      </c>
      <c r="I812" t="s">
        <v>137</v>
      </c>
      <c r="J812">
        <v>113740</v>
      </c>
      <c r="K812">
        <v>113752</v>
      </c>
      <c r="L812" s="3">
        <v>-1</v>
      </c>
      <c r="M812" s="3">
        <v>447</v>
      </c>
    </row>
    <row r="813" spans="3:13" x14ac:dyDescent="0.2">
      <c r="C813">
        <v>1129</v>
      </c>
      <c r="D813">
        <v>38.998179</v>
      </c>
      <c r="E813">
        <v>-77.109352000000001</v>
      </c>
      <c r="F813">
        <v>297</v>
      </c>
      <c r="G813">
        <v>8.1318000000000001</v>
      </c>
      <c r="I813" t="s">
        <v>137</v>
      </c>
      <c r="J813">
        <v>113740</v>
      </c>
      <c r="K813">
        <v>119783</v>
      </c>
      <c r="L813" s="3">
        <v>-1</v>
      </c>
      <c r="M813" s="3">
        <v>447</v>
      </c>
    </row>
    <row r="814" spans="3:13" x14ac:dyDescent="0.2">
      <c r="C814">
        <v>1129</v>
      </c>
      <c r="D814">
        <v>38.999398999999997</v>
      </c>
      <c r="E814">
        <v>-77.109522999999996</v>
      </c>
      <c r="F814">
        <v>298</v>
      </c>
      <c r="G814">
        <v>8.2166999999999994</v>
      </c>
      <c r="I814" t="s">
        <v>137</v>
      </c>
      <c r="J814">
        <v>113743</v>
      </c>
      <c r="K814">
        <v>113744</v>
      </c>
      <c r="L814" s="3">
        <v>-1</v>
      </c>
      <c r="M814" s="3">
        <v>447</v>
      </c>
    </row>
    <row r="815" spans="3:13" x14ac:dyDescent="0.2">
      <c r="C815">
        <v>1129</v>
      </c>
      <c r="D815">
        <v>39.000098000000001</v>
      </c>
      <c r="E815">
        <v>-77.109630999999993</v>
      </c>
      <c r="F815">
        <v>299</v>
      </c>
      <c r="G815">
        <v>8.2652999999999999</v>
      </c>
      <c r="I815" t="s">
        <v>137</v>
      </c>
      <c r="J815">
        <v>113744</v>
      </c>
      <c r="K815">
        <v>113737</v>
      </c>
      <c r="L815" s="3">
        <v>-1</v>
      </c>
      <c r="M815" s="3">
        <v>447</v>
      </c>
    </row>
    <row r="816" spans="3:13" x14ac:dyDescent="0.2">
      <c r="C816">
        <v>1129</v>
      </c>
      <c r="D816">
        <v>39.001690000000004</v>
      </c>
      <c r="E816">
        <v>-77.109851000000006</v>
      </c>
      <c r="F816">
        <v>300</v>
      </c>
      <c r="G816">
        <v>8.3758999999999997</v>
      </c>
      <c r="I816" t="s">
        <v>137</v>
      </c>
      <c r="J816">
        <v>113752</v>
      </c>
      <c r="K816">
        <v>113590</v>
      </c>
      <c r="L816" s="3">
        <v>-1</v>
      </c>
      <c r="M816" s="3">
        <v>447</v>
      </c>
    </row>
    <row r="817" spans="3:13" x14ac:dyDescent="0.2">
      <c r="C817">
        <v>1129</v>
      </c>
      <c r="D817">
        <v>39.002029</v>
      </c>
      <c r="E817">
        <v>-77.109913000000006</v>
      </c>
      <c r="F817">
        <v>301</v>
      </c>
      <c r="G817">
        <v>8.3995999999999995</v>
      </c>
      <c r="I817" t="s">
        <v>137</v>
      </c>
      <c r="J817">
        <v>113752</v>
      </c>
      <c r="K817">
        <v>113740</v>
      </c>
      <c r="L817" s="3">
        <v>-1</v>
      </c>
      <c r="M817" s="3">
        <v>447</v>
      </c>
    </row>
    <row r="818" spans="3:13" x14ac:dyDescent="0.2">
      <c r="C818">
        <v>1129</v>
      </c>
      <c r="D818">
        <v>39.002369000000002</v>
      </c>
      <c r="E818">
        <v>-77.109971999999999</v>
      </c>
      <c r="F818">
        <v>302</v>
      </c>
      <c r="G818">
        <v>8.4232999999999993</v>
      </c>
      <c r="I818" t="s">
        <v>137</v>
      </c>
      <c r="J818">
        <v>113752</v>
      </c>
      <c r="K818">
        <v>755301</v>
      </c>
      <c r="L818" s="3">
        <v>-1</v>
      </c>
      <c r="M818" s="3">
        <v>447</v>
      </c>
    </row>
    <row r="819" spans="3:13" x14ac:dyDescent="0.2">
      <c r="C819">
        <v>1129</v>
      </c>
      <c r="D819">
        <v>39.002799000000003</v>
      </c>
      <c r="E819">
        <v>-77.110073</v>
      </c>
      <c r="F819">
        <v>303</v>
      </c>
      <c r="G819">
        <v>8.4534000000000002</v>
      </c>
      <c r="I819" t="s">
        <v>137</v>
      </c>
      <c r="J819">
        <v>113752</v>
      </c>
      <c r="K819">
        <v>756632</v>
      </c>
      <c r="L819" s="3">
        <v>-1</v>
      </c>
      <c r="M819" s="3">
        <v>447</v>
      </c>
    </row>
    <row r="820" spans="3:13" x14ac:dyDescent="0.2">
      <c r="C820">
        <v>1129</v>
      </c>
      <c r="D820">
        <v>39.003098000000001</v>
      </c>
      <c r="E820">
        <v>-77.110161000000005</v>
      </c>
      <c r="F820">
        <v>304</v>
      </c>
      <c r="G820">
        <v>8.4746000000000006</v>
      </c>
      <c r="I820" t="s">
        <v>137</v>
      </c>
      <c r="J820">
        <v>114222</v>
      </c>
      <c r="K820">
        <v>113580</v>
      </c>
      <c r="L820" s="3">
        <v>-1</v>
      </c>
      <c r="M820" s="3">
        <v>447</v>
      </c>
    </row>
    <row r="821" spans="3:13" x14ac:dyDescent="0.2">
      <c r="C821">
        <v>1129</v>
      </c>
      <c r="D821">
        <v>39.003357999999999</v>
      </c>
      <c r="E821">
        <v>-77.110242</v>
      </c>
      <c r="F821">
        <v>305</v>
      </c>
      <c r="G821">
        <v>8.4930000000000003</v>
      </c>
      <c r="I821" t="s">
        <v>137</v>
      </c>
      <c r="J821">
        <v>119783</v>
      </c>
      <c r="K821">
        <v>113740</v>
      </c>
      <c r="L821" s="3">
        <v>-1</v>
      </c>
      <c r="M821" s="3">
        <v>447</v>
      </c>
    </row>
    <row r="822" spans="3:13" x14ac:dyDescent="0.2">
      <c r="C822">
        <v>1129</v>
      </c>
      <c r="D822">
        <v>39.003599999999999</v>
      </c>
      <c r="E822">
        <v>-77.110341000000005</v>
      </c>
      <c r="F822">
        <v>306</v>
      </c>
      <c r="G822">
        <v>8.5104000000000006</v>
      </c>
      <c r="I822" t="s">
        <v>137</v>
      </c>
      <c r="J822">
        <v>755301</v>
      </c>
      <c r="K822">
        <v>113752</v>
      </c>
      <c r="L822" s="3">
        <v>-1</v>
      </c>
      <c r="M822" s="3">
        <v>447</v>
      </c>
    </row>
    <row r="823" spans="3:13" x14ac:dyDescent="0.2">
      <c r="C823">
        <v>1129</v>
      </c>
      <c r="D823">
        <v>39.003630000000001</v>
      </c>
      <c r="E823">
        <v>-77.110322999999994</v>
      </c>
      <c r="F823">
        <v>307</v>
      </c>
      <c r="G823">
        <v>8.5127000000000006</v>
      </c>
      <c r="I823" t="s">
        <v>137</v>
      </c>
      <c r="J823">
        <v>755589</v>
      </c>
      <c r="K823">
        <v>113586</v>
      </c>
      <c r="L823" s="3">
        <v>-1</v>
      </c>
      <c r="M823" s="3">
        <v>447</v>
      </c>
    </row>
    <row r="824" spans="3:13" x14ac:dyDescent="0.2">
      <c r="C824">
        <v>1129</v>
      </c>
      <c r="D824">
        <v>39.003599999999999</v>
      </c>
      <c r="E824">
        <v>-77.110341000000005</v>
      </c>
      <c r="F824">
        <v>308</v>
      </c>
      <c r="G824">
        <v>8.5150000000000006</v>
      </c>
      <c r="I824" t="s">
        <v>137</v>
      </c>
      <c r="J824">
        <v>755590</v>
      </c>
      <c r="K824">
        <v>113586</v>
      </c>
      <c r="L824" s="3">
        <v>-1</v>
      </c>
      <c r="M824" s="3">
        <v>447</v>
      </c>
    </row>
    <row r="825" spans="3:13" x14ac:dyDescent="0.2">
      <c r="C825">
        <v>1129</v>
      </c>
      <c r="D825">
        <v>39.003357999999999</v>
      </c>
      <c r="E825">
        <v>-77.110242</v>
      </c>
      <c r="F825">
        <v>309</v>
      </c>
      <c r="G825">
        <v>8.5324000000000009</v>
      </c>
      <c r="I825" t="s">
        <v>137</v>
      </c>
      <c r="J825">
        <v>755590</v>
      </c>
      <c r="K825">
        <v>113587</v>
      </c>
      <c r="L825" s="3">
        <v>-1</v>
      </c>
      <c r="M825" s="3">
        <v>447</v>
      </c>
    </row>
    <row r="826" spans="3:13" x14ac:dyDescent="0.2">
      <c r="C826">
        <v>1129</v>
      </c>
      <c r="D826">
        <v>39.003098000000001</v>
      </c>
      <c r="E826">
        <v>-77.110161000000005</v>
      </c>
      <c r="F826">
        <v>310</v>
      </c>
      <c r="G826">
        <v>8.5508000000000006</v>
      </c>
      <c r="I826" t="s">
        <v>137</v>
      </c>
      <c r="J826">
        <v>756632</v>
      </c>
      <c r="K826">
        <v>113752</v>
      </c>
      <c r="L826" s="3">
        <v>-1</v>
      </c>
      <c r="M826" s="3">
        <v>447</v>
      </c>
    </row>
    <row r="827" spans="3:13" x14ac:dyDescent="0.2">
      <c r="C827">
        <v>1129</v>
      </c>
      <c r="D827">
        <v>39.002799000000003</v>
      </c>
      <c r="E827">
        <v>-77.110073</v>
      </c>
      <c r="F827">
        <v>311</v>
      </c>
      <c r="G827">
        <v>8.5719999999999992</v>
      </c>
      <c r="J827">
        <v>108856</v>
      </c>
      <c r="K827">
        <v>114113</v>
      </c>
      <c r="L827" s="3">
        <v>-1</v>
      </c>
      <c r="M827" s="3">
        <v>113</v>
      </c>
    </row>
    <row r="828" spans="3:13" x14ac:dyDescent="0.2">
      <c r="C828">
        <v>1129</v>
      </c>
      <c r="D828">
        <v>39.002830000000003</v>
      </c>
      <c r="E828">
        <v>-77.109909999999999</v>
      </c>
      <c r="F828">
        <v>312</v>
      </c>
      <c r="G828">
        <v>8.5808999999999997</v>
      </c>
      <c r="J828">
        <v>114119</v>
      </c>
      <c r="K828">
        <v>755552</v>
      </c>
      <c r="L828" s="3">
        <v>-1</v>
      </c>
      <c r="M828" s="3">
        <v>113</v>
      </c>
    </row>
    <row r="829" spans="3:13" x14ac:dyDescent="0.2">
      <c r="C829">
        <v>1129</v>
      </c>
      <c r="D829">
        <v>39.003619</v>
      </c>
      <c r="E829">
        <v>-77.110181999999995</v>
      </c>
      <c r="F829">
        <v>313</v>
      </c>
      <c r="G829">
        <v>8.6372999999999998</v>
      </c>
      <c r="J829">
        <v>114128</v>
      </c>
      <c r="K829">
        <v>114132</v>
      </c>
      <c r="L829" s="3">
        <v>-1</v>
      </c>
      <c r="M829" s="3">
        <v>113</v>
      </c>
    </row>
    <row r="830" spans="3:13" x14ac:dyDescent="0.2">
      <c r="C830">
        <v>1129</v>
      </c>
      <c r="D830">
        <v>39.004128000000001</v>
      </c>
      <c r="E830">
        <v>-77.110401999999993</v>
      </c>
      <c r="F830">
        <v>314</v>
      </c>
      <c r="G830">
        <v>8.6744000000000003</v>
      </c>
      <c r="J830">
        <v>114128</v>
      </c>
      <c r="K830">
        <v>114325</v>
      </c>
      <c r="L830" s="3">
        <v>-1</v>
      </c>
      <c r="M830" s="3">
        <v>113</v>
      </c>
    </row>
    <row r="831" spans="3:13" x14ac:dyDescent="0.2">
      <c r="C831">
        <v>1129</v>
      </c>
      <c r="D831">
        <v>39.004517999999997</v>
      </c>
      <c r="E831">
        <v>-77.110579999999999</v>
      </c>
      <c r="F831">
        <v>315</v>
      </c>
      <c r="G831">
        <v>8.7029999999999994</v>
      </c>
      <c r="J831">
        <v>114132</v>
      </c>
      <c r="K831">
        <v>114128</v>
      </c>
      <c r="L831" s="3">
        <v>-1</v>
      </c>
      <c r="M831" s="3">
        <v>113</v>
      </c>
    </row>
    <row r="832" spans="3:13" x14ac:dyDescent="0.2">
      <c r="C832">
        <v>1129</v>
      </c>
      <c r="D832">
        <v>39.004807999999997</v>
      </c>
      <c r="E832">
        <v>-77.110720999999998</v>
      </c>
      <c r="F832">
        <v>316</v>
      </c>
      <c r="G832">
        <v>8.7243999999999993</v>
      </c>
      <c r="J832">
        <v>114325</v>
      </c>
      <c r="K832">
        <v>114330</v>
      </c>
      <c r="L832" s="3">
        <v>-1</v>
      </c>
      <c r="M832" s="3">
        <v>113</v>
      </c>
    </row>
    <row r="833" spans="3:13" x14ac:dyDescent="0.2">
      <c r="C833">
        <v>1129</v>
      </c>
      <c r="D833">
        <v>39.005189000000001</v>
      </c>
      <c r="E833">
        <v>-77.110917000000001</v>
      </c>
      <c r="F833">
        <v>317</v>
      </c>
      <c r="G833">
        <v>8.7528000000000006</v>
      </c>
      <c r="J833">
        <v>114337</v>
      </c>
      <c r="K833">
        <v>108856</v>
      </c>
      <c r="L833" s="3">
        <v>-1</v>
      </c>
      <c r="M833" s="3">
        <v>113</v>
      </c>
    </row>
    <row r="834" spans="3:13" x14ac:dyDescent="0.2">
      <c r="C834">
        <v>1129</v>
      </c>
      <c r="D834">
        <v>39.005200000000002</v>
      </c>
      <c r="E834">
        <v>-77.110889</v>
      </c>
      <c r="F834">
        <v>318</v>
      </c>
      <c r="G834">
        <v>8.7544000000000004</v>
      </c>
      <c r="J834">
        <v>755552</v>
      </c>
      <c r="K834">
        <v>114128</v>
      </c>
      <c r="L834" s="3">
        <v>-1</v>
      </c>
      <c r="M834" s="3">
        <v>113</v>
      </c>
    </row>
    <row r="835" spans="3:13" x14ac:dyDescent="0.2">
      <c r="C835">
        <v>1129</v>
      </c>
      <c r="D835">
        <v>39.005339999999997</v>
      </c>
      <c r="E835">
        <v>-77.110992999999993</v>
      </c>
      <c r="F835">
        <v>319</v>
      </c>
      <c r="G835">
        <v>8.7654999999999994</v>
      </c>
      <c r="J835" s="1">
        <v>114836</v>
      </c>
      <c r="K835" s="1">
        <v>103979</v>
      </c>
      <c r="L835" s="3">
        <v>-1</v>
      </c>
      <c r="M835" s="3">
        <v>113</v>
      </c>
    </row>
    <row r="836" spans="3:13" x14ac:dyDescent="0.2">
      <c r="C836">
        <v>1129</v>
      </c>
      <c r="D836">
        <v>39.006559000000003</v>
      </c>
      <c r="E836">
        <v>-77.111700999999996</v>
      </c>
      <c r="F836">
        <v>320</v>
      </c>
      <c r="G836">
        <v>8.8581000000000003</v>
      </c>
      <c r="J836" s="1">
        <v>103979</v>
      </c>
      <c r="K836" s="1">
        <v>103980</v>
      </c>
      <c r="L836" s="3">
        <v>-1</v>
      </c>
      <c r="M836" s="3">
        <v>113</v>
      </c>
    </row>
    <row r="837" spans="3:13" x14ac:dyDescent="0.2">
      <c r="C837">
        <v>1129</v>
      </c>
      <c r="D837">
        <v>39.006506999999999</v>
      </c>
      <c r="E837">
        <v>-77.111795999999998</v>
      </c>
      <c r="F837">
        <v>321</v>
      </c>
      <c r="G837">
        <v>8.8643999999999998</v>
      </c>
      <c r="J837" s="1">
        <v>103980</v>
      </c>
      <c r="K837" s="1">
        <v>103979</v>
      </c>
      <c r="L837" s="3">
        <v>-1</v>
      </c>
      <c r="M837" s="3">
        <v>113</v>
      </c>
    </row>
    <row r="838" spans="3:13" x14ac:dyDescent="0.2">
      <c r="C838">
        <v>1129</v>
      </c>
      <c r="D838">
        <v>39.006529</v>
      </c>
      <c r="E838">
        <v>-77.111813999999995</v>
      </c>
      <c r="F838">
        <v>322</v>
      </c>
      <c r="G838">
        <v>8.8660999999999994</v>
      </c>
      <c r="I838" s="1"/>
      <c r="J838" s="1">
        <v>103979</v>
      </c>
      <c r="K838" s="1">
        <v>114836</v>
      </c>
      <c r="L838" s="3">
        <v>-1</v>
      </c>
      <c r="M838" s="3">
        <v>113</v>
      </c>
    </row>
    <row r="839" spans="3:13" x14ac:dyDescent="0.2">
      <c r="C839">
        <v>1129</v>
      </c>
      <c r="D839">
        <v>39.006487999999997</v>
      </c>
      <c r="E839">
        <v>-77.111832000000007</v>
      </c>
      <c r="F839">
        <v>323</v>
      </c>
      <c r="G839">
        <v>8.8689</v>
      </c>
      <c r="J839" s="1">
        <v>113600</v>
      </c>
      <c r="K839" s="1">
        <v>113599</v>
      </c>
      <c r="L839" s="3">
        <v>-1</v>
      </c>
      <c r="M839" s="3">
        <v>113</v>
      </c>
    </row>
    <row r="840" spans="3:13" x14ac:dyDescent="0.2">
      <c r="C840">
        <v>1129</v>
      </c>
      <c r="D840">
        <v>39.006819</v>
      </c>
      <c r="E840">
        <v>-77.112060999999997</v>
      </c>
      <c r="F840">
        <v>324</v>
      </c>
      <c r="G840">
        <v>8.8948999999999998</v>
      </c>
      <c r="J840" s="1">
        <v>113599</v>
      </c>
      <c r="K840" s="1">
        <v>113600</v>
      </c>
      <c r="L840" s="3">
        <v>-1</v>
      </c>
      <c r="M840" s="3">
        <v>113</v>
      </c>
    </row>
    <row r="841" spans="3:13" x14ac:dyDescent="0.2">
      <c r="C841">
        <v>1129</v>
      </c>
      <c r="D841">
        <v>39.007328999999999</v>
      </c>
      <c r="E841">
        <v>-77.112420999999998</v>
      </c>
      <c r="F841">
        <v>325</v>
      </c>
      <c r="G841">
        <v>8.9352</v>
      </c>
      <c r="J841" s="1">
        <v>113601</v>
      </c>
      <c r="K841" s="1">
        <v>113599</v>
      </c>
      <c r="L841" s="3">
        <v>-1</v>
      </c>
      <c r="M841" s="3">
        <v>113</v>
      </c>
    </row>
    <row r="842" spans="3:13" x14ac:dyDescent="0.2">
      <c r="C842">
        <v>1129</v>
      </c>
      <c r="D842">
        <v>39.00788</v>
      </c>
      <c r="E842">
        <v>-77.112900999999994</v>
      </c>
      <c r="F842">
        <v>326</v>
      </c>
      <c r="G842">
        <v>8.9811999999999994</v>
      </c>
      <c r="J842">
        <v>113568</v>
      </c>
      <c r="K842">
        <v>113569</v>
      </c>
      <c r="L842" s="3">
        <v>-1</v>
      </c>
      <c r="M842" s="3">
        <v>113</v>
      </c>
    </row>
    <row r="843" spans="3:13" x14ac:dyDescent="0.2">
      <c r="C843">
        <v>1129</v>
      </c>
      <c r="D843">
        <v>39.008597999999999</v>
      </c>
      <c r="E843">
        <v>-77.113540999999998</v>
      </c>
      <c r="F843">
        <v>327</v>
      </c>
      <c r="G843">
        <v>9.0419</v>
      </c>
      <c r="I843" t="s">
        <v>137</v>
      </c>
      <c r="J843">
        <v>113569</v>
      </c>
      <c r="K843">
        <v>113568</v>
      </c>
      <c r="L843" s="3">
        <v>-1</v>
      </c>
      <c r="M843" s="3">
        <v>113</v>
      </c>
    </row>
    <row r="844" spans="3:13" x14ac:dyDescent="0.2">
      <c r="C844">
        <v>1129</v>
      </c>
      <c r="D844">
        <v>39.008650000000003</v>
      </c>
      <c r="E844">
        <v>-77.113589000000005</v>
      </c>
      <c r="F844">
        <v>328</v>
      </c>
      <c r="G844">
        <v>9.0462000000000007</v>
      </c>
      <c r="I844" t="s">
        <v>137</v>
      </c>
      <c r="J844">
        <v>113569</v>
      </c>
      <c r="K844">
        <v>113574</v>
      </c>
      <c r="L844" s="3">
        <v>-1</v>
      </c>
      <c r="M844" s="3">
        <v>113</v>
      </c>
    </row>
    <row r="845" spans="3:13" x14ac:dyDescent="0.2">
      <c r="C845">
        <v>1129</v>
      </c>
      <c r="D845">
        <v>39.008676999999999</v>
      </c>
      <c r="E845">
        <v>-77.11354</v>
      </c>
      <c r="F845">
        <v>329</v>
      </c>
      <c r="G845">
        <v>9.0494000000000003</v>
      </c>
      <c r="I845" t="s">
        <v>137</v>
      </c>
      <c r="J845">
        <v>113569</v>
      </c>
      <c r="K845">
        <v>755179</v>
      </c>
      <c r="L845" s="3">
        <v>-1</v>
      </c>
      <c r="M845" s="3">
        <v>113</v>
      </c>
    </row>
    <row r="846" spans="3:13" x14ac:dyDescent="0.2">
      <c r="C846">
        <v>1129</v>
      </c>
      <c r="D846">
        <v>39.010027999999998</v>
      </c>
      <c r="E846">
        <v>-77.114841999999996</v>
      </c>
      <c r="F846">
        <v>330</v>
      </c>
      <c r="G846">
        <v>9.1664999999999992</v>
      </c>
      <c r="I846" t="s">
        <v>137</v>
      </c>
      <c r="J846">
        <v>113574</v>
      </c>
      <c r="K846">
        <v>113569</v>
      </c>
      <c r="L846" s="3">
        <v>-1</v>
      </c>
      <c r="M846" s="3">
        <v>113</v>
      </c>
    </row>
    <row r="847" spans="3:13" x14ac:dyDescent="0.2">
      <c r="C847">
        <v>1129</v>
      </c>
      <c r="D847">
        <v>39.010089000000001</v>
      </c>
      <c r="E847">
        <v>-77.114721000000003</v>
      </c>
      <c r="F847">
        <v>331</v>
      </c>
      <c r="G847">
        <v>9.1740999999999993</v>
      </c>
      <c r="I847" t="s">
        <v>137</v>
      </c>
      <c r="J847">
        <v>113574</v>
      </c>
      <c r="K847">
        <v>113575</v>
      </c>
      <c r="L847" s="3">
        <v>-1</v>
      </c>
      <c r="M847" s="3">
        <v>113</v>
      </c>
    </row>
    <row r="848" spans="3:13" x14ac:dyDescent="0.2">
      <c r="C848">
        <v>1129</v>
      </c>
      <c r="D848">
        <v>39.010137999999998</v>
      </c>
      <c r="E848">
        <v>-77.114766000000003</v>
      </c>
      <c r="F848">
        <v>332</v>
      </c>
      <c r="G848">
        <v>9.1782000000000004</v>
      </c>
      <c r="I848" t="s">
        <v>137</v>
      </c>
      <c r="J848">
        <v>113575</v>
      </c>
      <c r="K848">
        <v>113574</v>
      </c>
      <c r="L848" s="3">
        <v>-1</v>
      </c>
      <c r="M848" s="3">
        <v>113</v>
      </c>
    </row>
    <row r="849" spans="3:13" x14ac:dyDescent="0.2">
      <c r="C849">
        <v>1129</v>
      </c>
      <c r="D849">
        <v>39.010109999999997</v>
      </c>
      <c r="E849">
        <v>-77.114818999999997</v>
      </c>
      <c r="F849">
        <v>333</v>
      </c>
      <c r="G849">
        <v>9.1815999999999995</v>
      </c>
      <c r="I849" t="s">
        <v>137</v>
      </c>
      <c r="J849">
        <v>113575</v>
      </c>
      <c r="K849">
        <v>113580</v>
      </c>
      <c r="L849" s="3">
        <v>-1</v>
      </c>
      <c r="M849" s="3">
        <v>113</v>
      </c>
    </row>
    <row r="850" spans="3:13" x14ac:dyDescent="0.2">
      <c r="C850">
        <v>1129</v>
      </c>
      <c r="D850">
        <v>39.010787000000001</v>
      </c>
      <c r="E850">
        <v>-77.115333000000007</v>
      </c>
      <c r="F850">
        <v>334</v>
      </c>
      <c r="G850">
        <v>9.2360000000000007</v>
      </c>
      <c r="I850" t="s">
        <v>137</v>
      </c>
      <c r="J850">
        <v>113580</v>
      </c>
      <c r="K850">
        <v>113575</v>
      </c>
      <c r="L850" s="3">
        <v>-1</v>
      </c>
      <c r="M850" s="3">
        <v>113</v>
      </c>
    </row>
    <row r="851" spans="3:13" x14ac:dyDescent="0.2">
      <c r="C851">
        <v>1129</v>
      </c>
      <c r="D851">
        <v>39.011918999999999</v>
      </c>
      <c r="E851">
        <v>-77.116270999999998</v>
      </c>
      <c r="F851">
        <v>335</v>
      </c>
      <c r="G851">
        <v>9.3293999999999997</v>
      </c>
      <c r="I851" t="s">
        <v>137</v>
      </c>
      <c r="J851">
        <v>114245</v>
      </c>
      <c r="K851">
        <v>755181</v>
      </c>
      <c r="L851" s="3">
        <v>-1</v>
      </c>
      <c r="M851" s="3">
        <v>113</v>
      </c>
    </row>
    <row r="852" spans="3:13" x14ac:dyDescent="0.2">
      <c r="C852">
        <v>1129</v>
      </c>
      <c r="D852">
        <v>39.01247</v>
      </c>
      <c r="E852">
        <v>-77.116721999999996</v>
      </c>
      <c r="F852">
        <v>336</v>
      </c>
      <c r="G852">
        <v>9.3745999999999992</v>
      </c>
      <c r="I852" t="s">
        <v>137</v>
      </c>
      <c r="J852">
        <v>114245</v>
      </c>
      <c r="K852">
        <v>755790</v>
      </c>
      <c r="L852" s="3">
        <v>-1</v>
      </c>
      <c r="M852" s="3">
        <v>113</v>
      </c>
    </row>
    <row r="853" spans="3:13" x14ac:dyDescent="0.2">
      <c r="C853">
        <v>1129</v>
      </c>
      <c r="D853">
        <v>39.013007000000002</v>
      </c>
      <c r="E853">
        <v>-77.117135000000005</v>
      </c>
      <c r="F853">
        <v>337</v>
      </c>
      <c r="G853">
        <v>9.4179999999999993</v>
      </c>
      <c r="I853" t="s">
        <v>137</v>
      </c>
      <c r="J853">
        <v>114247</v>
      </c>
      <c r="K853">
        <v>114248</v>
      </c>
      <c r="L853" s="3">
        <v>-1</v>
      </c>
      <c r="M853" s="3">
        <v>113</v>
      </c>
    </row>
    <row r="854" spans="3:13" x14ac:dyDescent="0.2">
      <c r="C854">
        <v>1129</v>
      </c>
      <c r="D854">
        <v>39.012974</v>
      </c>
      <c r="E854">
        <v>-77.117205999999996</v>
      </c>
      <c r="F854">
        <v>338</v>
      </c>
      <c r="G854">
        <v>9.4222999999999999</v>
      </c>
      <c r="I854" t="s">
        <v>137</v>
      </c>
      <c r="J854">
        <v>114247</v>
      </c>
      <c r="K854">
        <v>755796</v>
      </c>
      <c r="L854" s="3">
        <v>-1</v>
      </c>
      <c r="M854" s="3">
        <v>113</v>
      </c>
    </row>
    <row r="855" spans="3:13" x14ac:dyDescent="0.2">
      <c r="C855">
        <v>1129</v>
      </c>
      <c r="D855">
        <v>39.013097000000002</v>
      </c>
      <c r="E855">
        <v>-77.117200999999994</v>
      </c>
      <c r="F855">
        <v>339</v>
      </c>
      <c r="G855">
        <v>9.4308999999999994</v>
      </c>
      <c r="I855" t="s">
        <v>137</v>
      </c>
      <c r="J855">
        <v>114248</v>
      </c>
      <c r="K855">
        <v>114247</v>
      </c>
      <c r="L855" s="3">
        <v>-1</v>
      </c>
      <c r="M855" s="3">
        <v>113</v>
      </c>
    </row>
    <row r="856" spans="3:13" x14ac:dyDescent="0.2">
      <c r="C856">
        <v>1129</v>
      </c>
      <c r="D856">
        <v>39.013665000000003</v>
      </c>
      <c r="E856">
        <v>-77.117655999999997</v>
      </c>
      <c r="F856">
        <v>340</v>
      </c>
      <c r="G856">
        <v>9.4771000000000001</v>
      </c>
      <c r="I856" t="s">
        <v>137</v>
      </c>
      <c r="J856">
        <v>114248</v>
      </c>
      <c r="K856">
        <v>755795</v>
      </c>
      <c r="L856" s="3">
        <v>-1</v>
      </c>
      <c r="M856" s="3">
        <v>113</v>
      </c>
    </row>
    <row r="857" spans="3:13" x14ac:dyDescent="0.2">
      <c r="C857">
        <v>1129</v>
      </c>
      <c r="D857">
        <v>39.013688999999999</v>
      </c>
      <c r="E857">
        <v>-77.117609999999999</v>
      </c>
      <c r="F857">
        <v>341</v>
      </c>
      <c r="G857">
        <v>9.4799000000000007</v>
      </c>
      <c r="I857" t="s">
        <v>137</v>
      </c>
      <c r="J857">
        <v>755179</v>
      </c>
      <c r="K857">
        <v>113569</v>
      </c>
      <c r="L857" s="3">
        <v>-1</v>
      </c>
      <c r="M857" s="3">
        <v>113</v>
      </c>
    </row>
    <row r="858" spans="3:13" x14ac:dyDescent="0.2">
      <c r="C858">
        <v>1129</v>
      </c>
      <c r="D858">
        <v>39.014150000000001</v>
      </c>
      <c r="E858">
        <v>-77.118042000000003</v>
      </c>
      <c r="F858">
        <v>342</v>
      </c>
      <c r="G858">
        <v>9.5192999999999994</v>
      </c>
      <c r="I858" t="s">
        <v>137</v>
      </c>
      <c r="J858">
        <v>755179</v>
      </c>
      <c r="K858">
        <v>755181</v>
      </c>
      <c r="L858" s="3">
        <v>-1</v>
      </c>
      <c r="M858" s="3">
        <v>113</v>
      </c>
    </row>
    <row r="859" spans="3:13" x14ac:dyDescent="0.2">
      <c r="C859">
        <v>1129</v>
      </c>
      <c r="D859">
        <v>39.014429</v>
      </c>
      <c r="E859">
        <v>-77.118260000000006</v>
      </c>
      <c r="F859">
        <v>343</v>
      </c>
      <c r="G859">
        <v>9.5419</v>
      </c>
      <c r="I859" t="s">
        <v>137</v>
      </c>
      <c r="J859">
        <v>755181</v>
      </c>
      <c r="K859">
        <v>114245</v>
      </c>
      <c r="L859" s="3">
        <v>-1</v>
      </c>
      <c r="M859" s="3">
        <v>113</v>
      </c>
    </row>
    <row r="860" spans="3:13" x14ac:dyDescent="0.2">
      <c r="C860">
        <v>1129</v>
      </c>
      <c r="D860">
        <v>39.014738999999999</v>
      </c>
      <c r="E860">
        <v>-77.118449999999996</v>
      </c>
      <c r="F860">
        <v>344</v>
      </c>
      <c r="G860">
        <v>9.5655000000000001</v>
      </c>
      <c r="I860" t="s">
        <v>137</v>
      </c>
      <c r="J860">
        <v>755181</v>
      </c>
      <c r="K860">
        <v>755179</v>
      </c>
      <c r="L860" s="3">
        <v>-1</v>
      </c>
      <c r="M860" s="3">
        <v>113</v>
      </c>
    </row>
    <row r="861" spans="3:13" x14ac:dyDescent="0.2">
      <c r="C861">
        <v>1129</v>
      </c>
      <c r="D861">
        <v>39.015006999999997</v>
      </c>
      <c r="E861">
        <v>-77.118630999999993</v>
      </c>
      <c r="F861">
        <v>345</v>
      </c>
      <c r="G861">
        <v>9.5863999999999994</v>
      </c>
      <c r="I861" t="s">
        <v>137</v>
      </c>
      <c r="J861">
        <v>755790</v>
      </c>
      <c r="K861">
        <v>114245</v>
      </c>
      <c r="L861" s="3">
        <v>-1</v>
      </c>
      <c r="M861" s="3">
        <v>113</v>
      </c>
    </row>
    <row r="862" spans="3:13" x14ac:dyDescent="0.2">
      <c r="C862">
        <v>1129</v>
      </c>
      <c r="D862">
        <v>39.015180000000001</v>
      </c>
      <c r="E862">
        <v>-77.118730999999997</v>
      </c>
      <c r="F862">
        <v>346</v>
      </c>
      <c r="G862">
        <v>9.5993999999999993</v>
      </c>
      <c r="I862" t="s">
        <v>137</v>
      </c>
      <c r="J862">
        <v>755790</v>
      </c>
      <c r="K862">
        <v>755796</v>
      </c>
      <c r="L862" s="3">
        <v>-1</v>
      </c>
      <c r="M862" s="3">
        <v>113</v>
      </c>
    </row>
    <row r="863" spans="3:13" x14ac:dyDescent="0.2">
      <c r="C863">
        <v>1129</v>
      </c>
      <c r="D863">
        <v>39.015638000000003</v>
      </c>
      <c r="E863">
        <v>-77.119021000000004</v>
      </c>
      <c r="F863">
        <v>347</v>
      </c>
      <c r="G863">
        <v>9.6347000000000005</v>
      </c>
      <c r="I863" t="s">
        <v>137</v>
      </c>
      <c r="J863">
        <v>755795</v>
      </c>
      <c r="K863">
        <v>114248</v>
      </c>
      <c r="L863" s="3">
        <v>-1</v>
      </c>
      <c r="M863" s="3">
        <v>113</v>
      </c>
    </row>
    <row r="864" spans="3:13" x14ac:dyDescent="0.2">
      <c r="C864">
        <v>1129</v>
      </c>
      <c r="D864">
        <v>39.015777</v>
      </c>
      <c r="E864">
        <v>-77.119094000000004</v>
      </c>
      <c r="F864">
        <v>348</v>
      </c>
      <c r="G864">
        <v>9.6450999999999993</v>
      </c>
      <c r="I864" t="s">
        <v>137</v>
      </c>
      <c r="J864">
        <v>755796</v>
      </c>
      <c r="K864">
        <v>114247</v>
      </c>
      <c r="L864" s="3">
        <v>-1</v>
      </c>
      <c r="M864" s="3">
        <v>113</v>
      </c>
    </row>
    <row r="865" spans="3:13" x14ac:dyDescent="0.2">
      <c r="C865">
        <v>1129</v>
      </c>
      <c r="D865">
        <v>39.016539000000002</v>
      </c>
      <c r="E865">
        <v>-77.119532000000007</v>
      </c>
      <c r="F865">
        <v>349</v>
      </c>
      <c r="G865">
        <v>9.7027999999999999</v>
      </c>
      <c r="I865" t="s">
        <v>137</v>
      </c>
      <c r="J865">
        <v>755796</v>
      </c>
      <c r="K865">
        <v>755790</v>
      </c>
      <c r="L865" s="3">
        <v>-1</v>
      </c>
      <c r="M865" s="3">
        <v>113</v>
      </c>
    </row>
    <row r="866" spans="3:13" x14ac:dyDescent="0.2">
      <c r="C866">
        <v>1129</v>
      </c>
      <c r="D866">
        <v>39.016883999999997</v>
      </c>
      <c r="E866">
        <v>-77.119749999999996</v>
      </c>
      <c r="F866">
        <v>350</v>
      </c>
      <c r="G866">
        <v>9.7294</v>
      </c>
      <c r="I866" t="s">
        <v>137</v>
      </c>
    </row>
    <row r="867" spans="3:13" x14ac:dyDescent="0.2">
      <c r="C867">
        <v>1129</v>
      </c>
      <c r="D867">
        <v>39.016905999999999</v>
      </c>
      <c r="E867">
        <v>-77.119692999999998</v>
      </c>
      <c r="F867">
        <v>351</v>
      </c>
      <c r="G867">
        <v>9.7325999999999997</v>
      </c>
    </row>
    <row r="868" spans="3:13" x14ac:dyDescent="0.2">
      <c r="C868">
        <v>1129</v>
      </c>
      <c r="D868">
        <v>39.017037999999999</v>
      </c>
      <c r="E868">
        <v>-77.119843000000003</v>
      </c>
      <c r="F868">
        <v>352</v>
      </c>
      <c r="G868">
        <v>9.7446999999999999</v>
      </c>
    </row>
    <row r="869" spans="3:13" x14ac:dyDescent="0.2">
      <c r="C869">
        <v>1129</v>
      </c>
      <c r="D869">
        <v>39.017498000000003</v>
      </c>
      <c r="E869">
        <v>-77.120091000000002</v>
      </c>
      <c r="F869">
        <v>353</v>
      </c>
      <c r="G869">
        <v>9.7791999999999994</v>
      </c>
    </row>
    <row r="870" spans="3:13" x14ac:dyDescent="0.2">
      <c r="C870">
        <v>1129</v>
      </c>
      <c r="D870">
        <v>39.018138999999998</v>
      </c>
      <c r="E870">
        <v>-77.120450000000005</v>
      </c>
      <c r="F870">
        <v>354</v>
      </c>
      <c r="G870">
        <v>9.8277000000000001</v>
      </c>
    </row>
    <row r="871" spans="3:13" x14ac:dyDescent="0.2">
      <c r="C871">
        <v>1129</v>
      </c>
      <c r="D871">
        <v>39.018219000000002</v>
      </c>
      <c r="E871">
        <v>-77.120502000000002</v>
      </c>
      <c r="F871">
        <v>355</v>
      </c>
      <c r="G871">
        <v>9.8337000000000003</v>
      </c>
    </row>
    <row r="872" spans="3:13" x14ac:dyDescent="0.2">
      <c r="C872">
        <v>1129</v>
      </c>
      <c r="D872">
        <v>39.018197000000001</v>
      </c>
      <c r="E872">
        <v>-77.120562000000007</v>
      </c>
      <c r="F872">
        <v>356</v>
      </c>
      <c r="G872">
        <v>9.8370999999999995</v>
      </c>
    </row>
    <row r="873" spans="3:13" x14ac:dyDescent="0.2">
      <c r="C873">
        <v>1129</v>
      </c>
      <c r="D873">
        <v>39.018608</v>
      </c>
      <c r="E873">
        <v>-77.120740999999995</v>
      </c>
      <c r="F873">
        <v>357</v>
      </c>
      <c r="G873">
        <v>9.8670000000000009</v>
      </c>
    </row>
    <row r="874" spans="3:13" x14ac:dyDescent="0.2">
      <c r="C874">
        <v>1129</v>
      </c>
      <c r="D874">
        <v>39.019402999999997</v>
      </c>
      <c r="E874">
        <v>-77.121256000000002</v>
      </c>
      <c r="F874">
        <v>358</v>
      </c>
      <c r="G874">
        <v>9.9288000000000007</v>
      </c>
    </row>
    <row r="875" spans="3:13" x14ac:dyDescent="0.2">
      <c r="C875">
        <v>1129</v>
      </c>
      <c r="D875">
        <v>39.019373000000002</v>
      </c>
      <c r="E875">
        <v>-77.121334000000004</v>
      </c>
      <c r="F875">
        <v>359</v>
      </c>
      <c r="G875">
        <v>9.9332999999999991</v>
      </c>
    </row>
    <row r="876" spans="3:13" x14ac:dyDescent="0.2">
      <c r="C876">
        <v>1129</v>
      </c>
      <c r="D876">
        <v>39.019539999999999</v>
      </c>
      <c r="E876">
        <v>-77.121342999999996</v>
      </c>
      <c r="F876">
        <v>360</v>
      </c>
      <c r="G876">
        <v>9.9449000000000005</v>
      </c>
    </row>
    <row r="877" spans="3:13" x14ac:dyDescent="0.2">
      <c r="C877">
        <v>1129</v>
      </c>
      <c r="D877">
        <v>39.020397000000003</v>
      </c>
      <c r="E877">
        <v>-77.121962999999994</v>
      </c>
      <c r="F877">
        <v>361</v>
      </c>
      <c r="G877">
        <v>10.0131</v>
      </c>
    </row>
    <row r="878" spans="3:13" x14ac:dyDescent="0.2">
      <c r="C878">
        <v>1129</v>
      </c>
      <c r="D878">
        <v>39.020547999999998</v>
      </c>
      <c r="E878">
        <v>-77.122067000000001</v>
      </c>
      <c r="F878">
        <v>362</v>
      </c>
      <c r="G878">
        <v>10.024800000000001</v>
      </c>
    </row>
    <row r="879" spans="3:13" x14ac:dyDescent="0.2">
      <c r="C879">
        <v>1129</v>
      </c>
      <c r="D879">
        <v>39.020572999999999</v>
      </c>
      <c r="E879">
        <v>-77.122011000000001</v>
      </c>
      <c r="F879">
        <v>363</v>
      </c>
      <c r="G879">
        <v>10.0282</v>
      </c>
    </row>
    <row r="880" spans="3:13" x14ac:dyDescent="0.2">
      <c r="C880">
        <v>1129</v>
      </c>
      <c r="D880">
        <v>39.020789000000001</v>
      </c>
      <c r="E880">
        <v>-77.122230000000002</v>
      </c>
      <c r="F880">
        <v>364</v>
      </c>
      <c r="G880">
        <v>10.0473</v>
      </c>
    </row>
    <row r="881" spans="3:7" x14ac:dyDescent="0.2">
      <c r="C881">
        <v>1129</v>
      </c>
      <c r="D881">
        <v>39.021729000000001</v>
      </c>
      <c r="E881">
        <v>-77.122919999999993</v>
      </c>
      <c r="F881">
        <v>365</v>
      </c>
      <c r="G881">
        <v>10.122299999999999</v>
      </c>
    </row>
    <row r="882" spans="3:7" x14ac:dyDescent="0.2">
      <c r="C882">
        <v>1129</v>
      </c>
      <c r="D882">
        <v>39.022438999999999</v>
      </c>
      <c r="E882">
        <v>-77.123429999999999</v>
      </c>
      <c r="F882">
        <v>366</v>
      </c>
      <c r="G882">
        <v>10.178599999999999</v>
      </c>
    </row>
    <row r="883" spans="3:7" x14ac:dyDescent="0.2">
      <c r="C883">
        <v>1129</v>
      </c>
      <c r="D883">
        <v>39.022413999999998</v>
      </c>
      <c r="E883">
        <v>-77.123475999999997</v>
      </c>
      <c r="F883">
        <v>367</v>
      </c>
      <c r="G883">
        <v>10.1814</v>
      </c>
    </row>
    <row r="884" spans="3:7" x14ac:dyDescent="0.2">
      <c r="C884">
        <v>1129</v>
      </c>
      <c r="D884">
        <v>39.022432999999999</v>
      </c>
      <c r="E884">
        <v>-77.123490000000004</v>
      </c>
      <c r="F884">
        <v>368</v>
      </c>
      <c r="G884">
        <v>10.183</v>
      </c>
    </row>
    <row r="885" spans="3:7" x14ac:dyDescent="0.2">
      <c r="C885">
        <v>1129</v>
      </c>
      <c r="D885">
        <v>39.005462999999999</v>
      </c>
      <c r="E885">
        <v>-77.104393999999999</v>
      </c>
      <c r="F885">
        <v>369</v>
      </c>
      <c r="G885">
        <v>11.7485</v>
      </c>
    </row>
    <row r="886" spans="3:7" x14ac:dyDescent="0.2">
      <c r="C886">
        <v>1129</v>
      </c>
      <c r="D886">
        <v>39.005389000000001</v>
      </c>
      <c r="E886">
        <v>-77.104552999999996</v>
      </c>
      <c r="F886">
        <v>370</v>
      </c>
      <c r="G886">
        <v>11.7583</v>
      </c>
    </row>
    <row r="887" spans="3:7" x14ac:dyDescent="0.2">
      <c r="C887">
        <v>1129</v>
      </c>
      <c r="D887">
        <v>39.005386000000001</v>
      </c>
      <c r="E887">
        <v>-77.104609999999994</v>
      </c>
      <c r="F887">
        <v>371</v>
      </c>
      <c r="G887">
        <v>11.7614</v>
      </c>
    </row>
    <row r="888" spans="3:7" x14ac:dyDescent="0.2">
      <c r="C888">
        <v>1129</v>
      </c>
      <c r="D888">
        <v>39.005299000000001</v>
      </c>
      <c r="E888">
        <v>-77.105873000000003</v>
      </c>
      <c r="F888">
        <v>372</v>
      </c>
      <c r="G888">
        <v>11.8294</v>
      </c>
    </row>
    <row r="889" spans="3:7" x14ac:dyDescent="0.2">
      <c r="C889">
        <v>1129</v>
      </c>
      <c r="D889">
        <v>39.005268000000001</v>
      </c>
      <c r="E889">
        <v>-77.106272000000004</v>
      </c>
      <c r="F889">
        <v>373</v>
      </c>
      <c r="G889">
        <v>11.8508</v>
      </c>
    </row>
    <row r="890" spans="3:7" x14ac:dyDescent="0.2">
      <c r="C890">
        <v>1129</v>
      </c>
      <c r="D890">
        <v>39.005226999999998</v>
      </c>
      <c r="E890">
        <v>-77.106550999999996</v>
      </c>
      <c r="F890">
        <v>374</v>
      </c>
      <c r="G890">
        <v>11.8659</v>
      </c>
    </row>
    <row r="891" spans="3:7" x14ac:dyDescent="0.2">
      <c r="C891">
        <v>1129</v>
      </c>
      <c r="D891">
        <v>39.005147999999998</v>
      </c>
      <c r="E891">
        <v>-77.106831</v>
      </c>
      <c r="F891">
        <v>375</v>
      </c>
      <c r="G891">
        <v>11.8818</v>
      </c>
    </row>
    <row r="892" spans="3:7" x14ac:dyDescent="0.2">
      <c r="C892">
        <v>1129</v>
      </c>
      <c r="D892">
        <v>39.005037999999999</v>
      </c>
      <c r="E892">
        <v>-77.107132000000007</v>
      </c>
      <c r="F892">
        <v>376</v>
      </c>
      <c r="G892">
        <v>11.8994</v>
      </c>
    </row>
    <row r="893" spans="3:7" x14ac:dyDescent="0.2">
      <c r="C893">
        <v>1129</v>
      </c>
      <c r="D893">
        <v>39.004800000000003</v>
      </c>
      <c r="E893">
        <v>-77.107681999999997</v>
      </c>
      <c r="F893">
        <v>377</v>
      </c>
      <c r="G893">
        <v>11.933</v>
      </c>
    </row>
    <row r="894" spans="3:7" x14ac:dyDescent="0.2">
      <c r="C894">
        <v>1129</v>
      </c>
      <c r="D894">
        <v>39.004668000000002</v>
      </c>
      <c r="E894">
        <v>-77.108031999999994</v>
      </c>
      <c r="F894">
        <v>378</v>
      </c>
      <c r="G894">
        <v>11.953799999999999</v>
      </c>
    </row>
    <row r="895" spans="3:7" x14ac:dyDescent="0.2">
      <c r="C895">
        <v>1129</v>
      </c>
      <c r="D895">
        <v>39.004589000000003</v>
      </c>
      <c r="E895">
        <v>-77.108452999999997</v>
      </c>
      <c r="F895">
        <v>379</v>
      </c>
      <c r="G895">
        <v>11.976900000000001</v>
      </c>
    </row>
    <row r="896" spans="3:7" x14ac:dyDescent="0.2">
      <c r="C896">
        <v>1129</v>
      </c>
      <c r="D896">
        <v>39.004548</v>
      </c>
      <c r="E896">
        <v>-77.109261000000004</v>
      </c>
      <c r="F896">
        <v>380</v>
      </c>
      <c r="G896">
        <v>12.020300000000001</v>
      </c>
    </row>
    <row r="897" spans="3:7" x14ac:dyDescent="0.2">
      <c r="C897">
        <v>1129</v>
      </c>
      <c r="D897">
        <v>39.004517999999997</v>
      </c>
      <c r="E897">
        <v>-77.110579999999999</v>
      </c>
      <c r="F897">
        <v>381</v>
      </c>
      <c r="G897">
        <v>12.091100000000001</v>
      </c>
    </row>
    <row r="898" spans="3:7" x14ac:dyDescent="0.2">
      <c r="C898">
        <v>1129</v>
      </c>
      <c r="D898">
        <v>39.004128000000001</v>
      </c>
      <c r="E898">
        <v>-77.110401999999993</v>
      </c>
      <c r="F898">
        <v>382</v>
      </c>
      <c r="G898">
        <v>12.1197</v>
      </c>
    </row>
    <row r="899" spans="3:7" x14ac:dyDescent="0.2">
      <c r="C899">
        <v>1129</v>
      </c>
      <c r="D899">
        <v>39.003619</v>
      </c>
      <c r="E899">
        <v>-77.110181999999995</v>
      </c>
      <c r="F899">
        <v>383</v>
      </c>
      <c r="G899">
        <v>12.1568</v>
      </c>
    </row>
    <row r="900" spans="3:7" x14ac:dyDescent="0.2">
      <c r="C900">
        <v>1129</v>
      </c>
      <c r="D900">
        <v>39.002830000000003</v>
      </c>
      <c r="E900">
        <v>-77.109909999999999</v>
      </c>
      <c r="F900">
        <v>384</v>
      </c>
      <c r="G900">
        <v>12.2133</v>
      </c>
    </row>
    <row r="901" spans="3:7" x14ac:dyDescent="0.2">
      <c r="C901">
        <v>1129</v>
      </c>
      <c r="D901">
        <v>39.002799000000003</v>
      </c>
      <c r="E901">
        <v>-77.110073</v>
      </c>
      <c r="F901">
        <v>385</v>
      </c>
      <c r="G901">
        <v>12.222200000000001</v>
      </c>
    </row>
    <row r="902" spans="3:7" x14ac:dyDescent="0.2">
      <c r="C902">
        <v>1129</v>
      </c>
      <c r="D902">
        <v>39.003098000000001</v>
      </c>
      <c r="E902">
        <v>-77.110161000000005</v>
      </c>
      <c r="F902">
        <v>386</v>
      </c>
      <c r="G902">
        <v>12.243399999999999</v>
      </c>
    </row>
    <row r="903" spans="3:7" x14ac:dyDescent="0.2">
      <c r="C903">
        <v>1129</v>
      </c>
      <c r="D903">
        <v>39.003357999999999</v>
      </c>
      <c r="E903">
        <v>-77.110242</v>
      </c>
      <c r="F903">
        <v>387</v>
      </c>
      <c r="G903">
        <v>12.261699999999999</v>
      </c>
    </row>
    <row r="904" spans="3:7" x14ac:dyDescent="0.2">
      <c r="C904">
        <v>1129</v>
      </c>
      <c r="D904">
        <v>39.003599999999999</v>
      </c>
      <c r="E904">
        <v>-77.110341000000005</v>
      </c>
      <c r="F904">
        <v>388</v>
      </c>
      <c r="G904">
        <v>12.279199999999999</v>
      </c>
    </row>
    <row r="905" spans="3:7" x14ac:dyDescent="0.2">
      <c r="C905">
        <v>1129</v>
      </c>
      <c r="D905">
        <v>39.004049000000002</v>
      </c>
      <c r="E905">
        <v>-77.110523000000001</v>
      </c>
      <c r="F905">
        <v>389</v>
      </c>
      <c r="G905">
        <v>12.3117</v>
      </c>
    </row>
    <row r="906" spans="3:7" x14ac:dyDescent="0.2">
      <c r="C906">
        <v>1129</v>
      </c>
      <c r="D906">
        <v>39.004517999999997</v>
      </c>
      <c r="E906">
        <v>-77.110731999999999</v>
      </c>
      <c r="F906">
        <v>390</v>
      </c>
      <c r="G906">
        <v>12.346</v>
      </c>
    </row>
    <row r="907" spans="3:7" x14ac:dyDescent="0.2">
      <c r="C907">
        <v>1129</v>
      </c>
      <c r="D907">
        <v>39.004550000000002</v>
      </c>
      <c r="E907">
        <v>-77.110753000000003</v>
      </c>
      <c r="F907">
        <v>391</v>
      </c>
      <c r="G907">
        <v>12.3485</v>
      </c>
    </row>
    <row r="908" spans="3:7" x14ac:dyDescent="0.2">
      <c r="C908">
        <v>1129</v>
      </c>
      <c r="D908">
        <v>39.004561000000002</v>
      </c>
      <c r="E908">
        <v>-77.110724000000005</v>
      </c>
      <c r="F908">
        <v>392</v>
      </c>
      <c r="G908">
        <v>12.35</v>
      </c>
    </row>
    <row r="909" spans="3:7" x14ac:dyDescent="0.2">
      <c r="C909">
        <v>1129</v>
      </c>
      <c r="D909">
        <v>39.024839</v>
      </c>
      <c r="E909">
        <v>-77.125287</v>
      </c>
      <c r="F909">
        <v>393</v>
      </c>
      <c r="G909">
        <v>13.961600000000001</v>
      </c>
    </row>
    <row r="910" spans="3:7" x14ac:dyDescent="0.2">
      <c r="C910">
        <v>1129</v>
      </c>
      <c r="D910">
        <v>39.024878000000001</v>
      </c>
      <c r="E910">
        <v>-77.125421000000003</v>
      </c>
      <c r="F910">
        <v>394</v>
      </c>
      <c r="G910">
        <v>13.969099999999999</v>
      </c>
    </row>
    <row r="911" spans="3:7" x14ac:dyDescent="0.2">
      <c r="C911">
        <v>1129</v>
      </c>
      <c r="D911">
        <v>39.024842</v>
      </c>
      <c r="E911">
        <v>-77.125397000000007</v>
      </c>
      <c r="F911">
        <v>395</v>
      </c>
      <c r="G911">
        <v>13.9718</v>
      </c>
    </row>
    <row r="912" spans="3:7" x14ac:dyDescent="0.2">
      <c r="C912">
        <v>1129</v>
      </c>
      <c r="D912">
        <v>39.024878000000001</v>
      </c>
      <c r="E912">
        <v>-77.125421000000003</v>
      </c>
      <c r="F912">
        <v>396</v>
      </c>
      <c r="G912">
        <v>13.974399999999999</v>
      </c>
    </row>
    <row r="913" spans="3:7" x14ac:dyDescent="0.2">
      <c r="C913">
        <v>1129</v>
      </c>
      <c r="D913">
        <v>39.024549</v>
      </c>
      <c r="E913">
        <v>-77.126302999999993</v>
      </c>
      <c r="F913">
        <v>397</v>
      </c>
      <c r="G913">
        <v>14.0267</v>
      </c>
    </row>
    <row r="914" spans="3:7" x14ac:dyDescent="0.2">
      <c r="C914">
        <v>1129</v>
      </c>
      <c r="D914">
        <v>39.024217</v>
      </c>
      <c r="E914">
        <v>-77.127221000000006</v>
      </c>
      <c r="F914">
        <v>398</v>
      </c>
      <c r="G914">
        <v>14.0807</v>
      </c>
    </row>
    <row r="915" spans="3:7" x14ac:dyDescent="0.2">
      <c r="C915">
        <v>1129</v>
      </c>
      <c r="D915">
        <v>39.023997999999999</v>
      </c>
      <c r="E915">
        <v>-77.127830000000003</v>
      </c>
      <c r="F915">
        <v>399</v>
      </c>
      <c r="G915">
        <v>14.1165</v>
      </c>
    </row>
    <row r="916" spans="3:7" x14ac:dyDescent="0.2">
      <c r="C916">
        <v>1129</v>
      </c>
      <c r="D916">
        <v>39.023814999999999</v>
      </c>
      <c r="E916">
        <v>-77.128371999999999</v>
      </c>
      <c r="F916">
        <v>400</v>
      </c>
      <c r="G916">
        <v>14.148099999999999</v>
      </c>
    </row>
    <row r="917" spans="3:7" x14ac:dyDescent="0.2">
      <c r="C917">
        <v>1129</v>
      </c>
      <c r="D917">
        <v>39.023795</v>
      </c>
      <c r="E917">
        <v>-77.128358000000006</v>
      </c>
      <c r="F917">
        <v>401</v>
      </c>
      <c r="G917">
        <v>14.1496</v>
      </c>
    </row>
    <row r="918" spans="3:7" x14ac:dyDescent="0.2">
      <c r="C918">
        <v>1129</v>
      </c>
      <c r="D918">
        <v>39.023760000000003</v>
      </c>
      <c r="E918">
        <v>-77.128532000000007</v>
      </c>
      <c r="F918">
        <v>402</v>
      </c>
      <c r="G918">
        <v>14.1591</v>
      </c>
    </row>
    <row r="919" spans="3:7" x14ac:dyDescent="0.2">
      <c r="C919">
        <v>1129</v>
      </c>
      <c r="D919">
        <v>39.023617000000002</v>
      </c>
      <c r="E919">
        <v>-77.129013</v>
      </c>
      <c r="F919">
        <v>403</v>
      </c>
      <c r="G919">
        <v>14.1866</v>
      </c>
    </row>
    <row r="920" spans="3:7" x14ac:dyDescent="0.2">
      <c r="C920">
        <v>1129</v>
      </c>
      <c r="D920">
        <v>39.023477999999997</v>
      </c>
      <c r="E920">
        <v>-77.129599999999996</v>
      </c>
      <c r="F920">
        <v>404</v>
      </c>
      <c r="G920">
        <v>14.2193</v>
      </c>
    </row>
    <row r="921" spans="3:7" x14ac:dyDescent="0.2">
      <c r="C921">
        <v>1129</v>
      </c>
      <c r="D921">
        <v>39.023277</v>
      </c>
      <c r="E921">
        <v>-77.130661000000003</v>
      </c>
      <c r="F921">
        <v>405</v>
      </c>
      <c r="G921">
        <v>14.277699999999999</v>
      </c>
    </row>
    <row r="922" spans="3:7" x14ac:dyDescent="0.2">
      <c r="C922">
        <v>1129</v>
      </c>
      <c r="D922">
        <v>39.023159999999997</v>
      </c>
      <c r="E922">
        <v>-77.130432999999996</v>
      </c>
      <c r="F922">
        <v>406</v>
      </c>
      <c r="G922">
        <v>14.292199999999999</v>
      </c>
    </row>
    <row r="923" spans="3:7" x14ac:dyDescent="0.2">
      <c r="C923">
        <v>1129</v>
      </c>
      <c r="D923">
        <v>39.02319</v>
      </c>
      <c r="E923">
        <v>-77.130280999999997</v>
      </c>
      <c r="F923">
        <v>407</v>
      </c>
      <c r="G923">
        <v>14.300599999999999</v>
      </c>
    </row>
    <row r="924" spans="3:7" x14ac:dyDescent="0.2">
      <c r="C924">
        <v>1129</v>
      </c>
      <c r="D924">
        <v>39.023164999999999</v>
      </c>
      <c r="E924">
        <v>-77.130270999999993</v>
      </c>
      <c r="F924">
        <v>408</v>
      </c>
      <c r="G924">
        <v>14.302300000000001</v>
      </c>
    </row>
    <row r="925" spans="3:7" x14ac:dyDescent="0.2">
      <c r="C925">
        <v>1129</v>
      </c>
      <c r="D925">
        <v>39.023159999999997</v>
      </c>
      <c r="E925">
        <v>-77.130432999999996</v>
      </c>
      <c r="F925">
        <v>409</v>
      </c>
      <c r="G925">
        <v>14.311</v>
      </c>
    </row>
    <row r="926" spans="3:7" x14ac:dyDescent="0.2">
      <c r="C926">
        <v>1129</v>
      </c>
      <c r="D926">
        <v>39.023277</v>
      </c>
      <c r="E926">
        <v>-77.130661000000003</v>
      </c>
      <c r="F926">
        <v>410</v>
      </c>
      <c r="G926">
        <v>14.3256</v>
      </c>
    </row>
    <row r="927" spans="3:7" x14ac:dyDescent="0.2">
      <c r="C927">
        <v>1129</v>
      </c>
      <c r="D927">
        <v>39.023108000000001</v>
      </c>
      <c r="E927">
        <v>-77.131471000000005</v>
      </c>
      <c r="F927">
        <v>411</v>
      </c>
      <c r="G927">
        <v>14.3705</v>
      </c>
    </row>
    <row r="928" spans="3:7" x14ac:dyDescent="0.2">
      <c r="C928">
        <v>1129</v>
      </c>
      <c r="D928">
        <v>39.023027999999996</v>
      </c>
      <c r="E928">
        <v>-77.131901999999997</v>
      </c>
      <c r="F928">
        <v>412</v>
      </c>
      <c r="G928">
        <v>14.3941</v>
      </c>
    </row>
    <row r="929" spans="3:7" x14ac:dyDescent="0.2">
      <c r="C929">
        <v>1129</v>
      </c>
      <c r="D929">
        <v>39.022959999999998</v>
      </c>
      <c r="E929">
        <v>-77.132231000000004</v>
      </c>
      <c r="F929">
        <v>413</v>
      </c>
      <c r="G929">
        <v>14.4123</v>
      </c>
    </row>
    <row r="930" spans="3:7" x14ac:dyDescent="0.2">
      <c r="C930">
        <v>1129</v>
      </c>
      <c r="D930">
        <v>39.022938000000003</v>
      </c>
      <c r="E930">
        <v>-77.132351</v>
      </c>
      <c r="F930">
        <v>414</v>
      </c>
      <c r="G930">
        <v>14.418699999999999</v>
      </c>
    </row>
    <row r="931" spans="3:7" x14ac:dyDescent="0.2">
      <c r="C931">
        <v>1129</v>
      </c>
      <c r="D931">
        <v>39.022838999999998</v>
      </c>
      <c r="E931">
        <v>-77.132733000000002</v>
      </c>
      <c r="F931">
        <v>415</v>
      </c>
      <c r="G931">
        <v>14.440200000000001</v>
      </c>
    </row>
    <row r="932" spans="3:7" x14ac:dyDescent="0.2">
      <c r="C932">
        <v>1129</v>
      </c>
      <c r="D932">
        <v>39.022688000000002</v>
      </c>
      <c r="E932">
        <v>-77.133211000000003</v>
      </c>
      <c r="F932">
        <v>416</v>
      </c>
      <c r="G932">
        <v>14.467599999999999</v>
      </c>
    </row>
    <row r="933" spans="3:7" x14ac:dyDescent="0.2">
      <c r="C933">
        <v>1129</v>
      </c>
      <c r="D933">
        <v>39.022277000000003</v>
      </c>
      <c r="E933">
        <v>-77.134379999999993</v>
      </c>
      <c r="F933">
        <v>417</v>
      </c>
      <c r="G933">
        <v>14.536199999999999</v>
      </c>
    </row>
    <row r="934" spans="3:7" x14ac:dyDescent="0.2">
      <c r="C934">
        <v>1129</v>
      </c>
      <c r="D934">
        <v>39.022117999999999</v>
      </c>
      <c r="E934">
        <v>-77.134883000000002</v>
      </c>
      <c r="F934">
        <v>418</v>
      </c>
      <c r="G934">
        <v>14.565200000000001</v>
      </c>
    </row>
    <row r="935" spans="3:7" x14ac:dyDescent="0.2">
      <c r="C935">
        <v>1129</v>
      </c>
      <c r="D935">
        <v>39.022094000000003</v>
      </c>
      <c r="E935">
        <v>-77.134951000000001</v>
      </c>
      <c r="F935">
        <v>419</v>
      </c>
      <c r="G935">
        <v>14.569100000000001</v>
      </c>
    </row>
    <row r="936" spans="3:7" x14ac:dyDescent="0.2">
      <c r="C936">
        <v>1129</v>
      </c>
      <c r="D936">
        <v>39.022117999999999</v>
      </c>
      <c r="E936">
        <v>-77.134883000000002</v>
      </c>
      <c r="F936">
        <v>420</v>
      </c>
      <c r="G936">
        <v>14.5731</v>
      </c>
    </row>
    <row r="937" spans="3:7" x14ac:dyDescent="0.2">
      <c r="C937">
        <v>1129</v>
      </c>
      <c r="D937">
        <v>39.022609000000003</v>
      </c>
      <c r="E937">
        <v>-77.135031999999995</v>
      </c>
      <c r="F937">
        <v>421</v>
      </c>
      <c r="G937">
        <v>14.608000000000001</v>
      </c>
    </row>
    <row r="938" spans="3:7" x14ac:dyDescent="0.2">
      <c r="C938">
        <v>1129</v>
      </c>
      <c r="D938">
        <v>39.023257999999998</v>
      </c>
      <c r="E938">
        <v>-77.135221999999999</v>
      </c>
      <c r="F938">
        <v>422</v>
      </c>
      <c r="G938">
        <v>14.654</v>
      </c>
    </row>
    <row r="939" spans="3:7" x14ac:dyDescent="0.2">
      <c r="C939">
        <v>1129</v>
      </c>
      <c r="D939">
        <v>39.023589999999999</v>
      </c>
      <c r="E939">
        <v>-77.135340999999997</v>
      </c>
      <c r="F939">
        <v>423</v>
      </c>
      <c r="G939">
        <v>14.6777</v>
      </c>
    </row>
    <row r="940" spans="3:7" x14ac:dyDescent="0.2">
      <c r="C940">
        <v>1129</v>
      </c>
      <c r="D940">
        <v>39.023949000000002</v>
      </c>
      <c r="E940">
        <v>-77.135506000000007</v>
      </c>
      <c r="F940">
        <v>424</v>
      </c>
      <c r="G940">
        <v>14.704000000000001</v>
      </c>
    </row>
    <row r="941" spans="3:7" x14ac:dyDescent="0.2">
      <c r="C941">
        <v>1129</v>
      </c>
      <c r="D941">
        <v>39.02413</v>
      </c>
      <c r="E941">
        <v>-77.135613000000006</v>
      </c>
      <c r="F941">
        <v>425</v>
      </c>
      <c r="G941">
        <v>14.717599999999999</v>
      </c>
    </row>
    <row r="942" spans="3:7" x14ac:dyDescent="0.2">
      <c r="C942">
        <v>1129</v>
      </c>
      <c r="D942">
        <v>39.024338</v>
      </c>
      <c r="E942">
        <v>-77.135740999999996</v>
      </c>
      <c r="F942">
        <v>426</v>
      </c>
      <c r="G942">
        <v>14.733499999999999</v>
      </c>
    </row>
    <row r="943" spans="3:7" x14ac:dyDescent="0.2">
      <c r="C943">
        <v>1129</v>
      </c>
      <c r="D943">
        <v>39.024700000000003</v>
      </c>
      <c r="E943">
        <v>-77.136050999999995</v>
      </c>
      <c r="F943">
        <v>427</v>
      </c>
      <c r="G943">
        <v>14.7636</v>
      </c>
    </row>
    <row r="944" spans="3:7" x14ac:dyDescent="0.2">
      <c r="C944">
        <v>1129</v>
      </c>
      <c r="D944">
        <v>39.025337999999998</v>
      </c>
      <c r="E944">
        <v>-77.136719999999997</v>
      </c>
      <c r="F944">
        <v>428</v>
      </c>
      <c r="G944">
        <v>14.820600000000001</v>
      </c>
    </row>
    <row r="945" spans="3:7" x14ac:dyDescent="0.2">
      <c r="C945">
        <v>1129</v>
      </c>
      <c r="D945">
        <v>39.025409000000003</v>
      </c>
      <c r="E945">
        <v>-77.136810999999994</v>
      </c>
      <c r="F945">
        <v>429</v>
      </c>
      <c r="G945">
        <v>14.827500000000001</v>
      </c>
    </row>
    <row r="946" spans="3:7" x14ac:dyDescent="0.2">
      <c r="C946">
        <v>1129</v>
      </c>
      <c r="D946">
        <v>39.025430999999998</v>
      </c>
      <c r="E946">
        <v>-77.136849999999995</v>
      </c>
      <c r="F946">
        <v>430</v>
      </c>
      <c r="G946">
        <v>14.8299</v>
      </c>
    </row>
    <row r="947" spans="3:7" x14ac:dyDescent="0.2">
      <c r="C947">
        <v>1129</v>
      </c>
      <c r="D947">
        <v>39.025388</v>
      </c>
      <c r="E947">
        <v>-77.136893000000001</v>
      </c>
      <c r="F947">
        <v>431</v>
      </c>
      <c r="G947">
        <v>14.8337</v>
      </c>
    </row>
    <row r="948" spans="3:7" x14ac:dyDescent="0.2">
      <c r="C948">
        <v>1129</v>
      </c>
      <c r="D948">
        <v>39.025737999999997</v>
      </c>
      <c r="E948">
        <v>-77.137360999999999</v>
      </c>
      <c r="F948">
        <v>432</v>
      </c>
      <c r="G948">
        <v>14.8688</v>
      </c>
    </row>
    <row r="949" spans="3:7" x14ac:dyDescent="0.2">
      <c r="C949">
        <v>1129</v>
      </c>
      <c r="D949">
        <v>39.025812000000002</v>
      </c>
      <c r="E949">
        <v>-77.137477000000004</v>
      </c>
      <c r="F949">
        <v>433</v>
      </c>
      <c r="G949">
        <v>14.8767</v>
      </c>
    </row>
    <row r="950" spans="3:7" x14ac:dyDescent="0.2">
      <c r="C950">
        <v>1129</v>
      </c>
      <c r="D950">
        <v>39.025888999999999</v>
      </c>
      <c r="E950">
        <v>-77.137663000000003</v>
      </c>
      <c r="F950">
        <v>434</v>
      </c>
      <c r="G950">
        <v>14.8879</v>
      </c>
    </row>
    <row r="951" spans="3:7" x14ac:dyDescent="0.2">
      <c r="C951">
        <v>1129</v>
      </c>
      <c r="D951">
        <v>39.026119000000001</v>
      </c>
      <c r="E951">
        <v>-77.138192000000004</v>
      </c>
      <c r="F951">
        <v>435</v>
      </c>
      <c r="G951">
        <v>14.920500000000001</v>
      </c>
    </row>
    <row r="952" spans="3:7" x14ac:dyDescent="0.2">
      <c r="C952">
        <v>1129</v>
      </c>
      <c r="D952">
        <v>39.026209999999999</v>
      </c>
      <c r="E952">
        <v>-77.138480000000001</v>
      </c>
      <c r="F952">
        <v>436</v>
      </c>
      <c r="G952">
        <v>14.937099999999999</v>
      </c>
    </row>
    <row r="953" spans="3:7" x14ac:dyDescent="0.2">
      <c r="C953">
        <v>1129</v>
      </c>
      <c r="D953">
        <v>39.026358000000002</v>
      </c>
      <c r="E953">
        <v>-77.139000999999993</v>
      </c>
      <c r="F953">
        <v>437</v>
      </c>
      <c r="G953">
        <v>14.966900000000001</v>
      </c>
    </row>
    <row r="954" spans="3:7" x14ac:dyDescent="0.2">
      <c r="C954">
        <v>1129</v>
      </c>
      <c r="D954">
        <v>39.026387999999997</v>
      </c>
      <c r="E954">
        <v>-77.139140999999995</v>
      </c>
      <c r="F954">
        <v>438</v>
      </c>
      <c r="G954">
        <v>14.974600000000001</v>
      </c>
    </row>
    <row r="955" spans="3:7" x14ac:dyDescent="0.2">
      <c r="C955">
        <v>1129</v>
      </c>
      <c r="D955">
        <v>39.026459000000003</v>
      </c>
      <c r="E955">
        <v>-77.139493000000002</v>
      </c>
      <c r="F955">
        <v>439</v>
      </c>
      <c r="G955">
        <v>14.9941</v>
      </c>
    </row>
    <row r="956" spans="3:7" x14ac:dyDescent="0.2">
      <c r="C956">
        <v>1129</v>
      </c>
      <c r="D956">
        <v>39.026519</v>
      </c>
      <c r="E956">
        <v>-77.139993000000004</v>
      </c>
      <c r="F956">
        <v>440</v>
      </c>
      <c r="G956">
        <v>15.0212</v>
      </c>
    </row>
    <row r="957" spans="3:7" x14ac:dyDescent="0.2">
      <c r="C957">
        <v>1129</v>
      </c>
      <c r="D957">
        <v>39.026549000000003</v>
      </c>
      <c r="E957">
        <v>-77.140722999999994</v>
      </c>
      <c r="F957">
        <v>441</v>
      </c>
      <c r="G957">
        <v>15.0604</v>
      </c>
    </row>
    <row r="958" spans="3:7" x14ac:dyDescent="0.2">
      <c r="C958">
        <v>1129</v>
      </c>
      <c r="D958">
        <v>39.026538000000002</v>
      </c>
      <c r="E958">
        <v>-77.141323</v>
      </c>
      <c r="F958">
        <v>442</v>
      </c>
      <c r="G958">
        <v>15.092599999999999</v>
      </c>
    </row>
    <row r="959" spans="3:7" x14ac:dyDescent="0.2">
      <c r="C959">
        <v>1129</v>
      </c>
      <c r="D959">
        <v>39.026538000000002</v>
      </c>
      <c r="E959">
        <v>-77.141574000000006</v>
      </c>
      <c r="F959">
        <v>443</v>
      </c>
      <c r="G959">
        <v>15.1061</v>
      </c>
    </row>
    <row r="960" spans="3:7" x14ac:dyDescent="0.2">
      <c r="C960">
        <v>1129</v>
      </c>
      <c r="D960">
        <v>39.026459000000003</v>
      </c>
      <c r="E960">
        <v>-77.141711999999998</v>
      </c>
      <c r="F960">
        <v>444</v>
      </c>
      <c r="G960">
        <v>15.1152</v>
      </c>
    </row>
    <row r="961" spans="3:7" x14ac:dyDescent="0.2">
      <c r="C961">
        <v>1129</v>
      </c>
      <c r="D961">
        <v>39.026508</v>
      </c>
      <c r="E961">
        <v>-77.141863000000001</v>
      </c>
      <c r="F961">
        <v>445</v>
      </c>
      <c r="G961">
        <v>15.123900000000001</v>
      </c>
    </row>
    <row r="962" spans="3:7" x14ac:dyDescent="0.2">
      <c r="C962">
        <v>1129</v>
      </c>
      <c r="D962">
        <v>39.026488999999998</v>
      </c>
      <c r="E962">
        <v>-77.142960000000002</v>
      </c>
      <c r="F962">
        <v>446</v>
      </c>
      <c r="G962">
        <v>15.1828</v>
      </c>
    </row>
    <row r="963" spans="3:7" x14ac:dyDescent="0.2">
      <c r="C963">
        <v>1129</v>
      </c>
      <c r="D963">
        <v>39.026488999999998</v>
      </c>
      <c r="E963">
        <v>-77.143983000000006</v>
      </c>
      <c r="F963">
        <v>447</v>
      </c>
      <c r="G963">
        <v>15.2377</v>
      </c>
    </row>
    <row r="964" spans="3:7" x14ac:dyDescent="0.2">
      <c r="C964">
        <v>1129</v>
      </c>
      <c r="D964">
        <v>39.026519</v>
      </c>
      <c r="E964">
        <v>-77.144001000000003</v>
      </c>
      <c r="F964">
        <v>448</v>
      </c>
      <c r="G964">
        <v>15.24</v>
      </c>
    </row>
    <row r="965" spans="3:7" x14ac:dyDescent="0.2">
      <c r="C965">
        <v>1129</v>
      </c>
      <c r="D965">
        <v>39.026488999999998</v>
      </c>
      <c r="E965">
        <v>-77.143983000000006</v>
      </c>
      <c r="F965">
        <v>449</v>
      </c>
      <c r="G965">
        <v>15.2422</v>
      </c>
    </row>
    <row r="966" spans="3:7" x14ac:dyDescent="0.2">
      <c r="C966">
        <v>1129</v>
      </c>
      <c r="D966">
        <v>39.026538000000002</v>
      </c>
      <c r="E966">
        <v>-77.144692000000006</v>
      </c>
      <c r="F966">
        <v>450</v>
      </c>
      <c r="G966">
        <v>15.2803</v>
      </c>
    </row>
    <row r="967" spans="3:7" x14ac:dyDescent="0.2">
      <c r="C967">
        <v>1129</v>
      </c>
      <c r="D967">
        <v>39.026670000000003</v>
      </c>
      <c r="E967">
        <v>-77.145572000000001</v>
      </c>
      <c r="F967">
        <v>451</v>
      </c>
      <c r="G967">
        <v>15.3284</v>
      </c>
    </row>
    <row r="968" spans="3:7" x14ac:dyDescent="0.2">
      <c r="C968">
        <v>1129</v>
      </c>
      <c r="D968">
        <v>39.026749000000002</v>
      </c>
      <c r="E968">
        <v>-77.145923999999994</v>
      </c>
      <c r="F968">
        <v>452</v>
      </c>
      <c r="G968">
        <v>15.348100000000001</v>
      </c>
    </row>
    <row r="969" spans="3:7" x14ac:dyDescent="0.2">
      <c r="C969">
        <v>1129</v>
      </c>
      <c r="D969">
        <v>39.026395999999998</v>
      </c>
      <c r="E969">
        <v>-77.146062000000001</v>
      </c>
      <c r="F969">
        <v>453</v>
      </c>
      <c r="G969">
        <v>15.3735</v>
      </c>
    </row>
    <row r="970" spans="3:7" x14ac:dyDescent="0.2">
      <c r="C970">
        <v>1129</v>
      </c>
      <c r="D970">
        <v>39.026355000000002</v>
      </c>
      <c r="E970">
        <v>-77.145906999999994</v>
      </c>
      <c r="F970">
        <v>454</v>
      </c>
      <c r="G970">
        <v>15.382199999999999</v>
      </c>
    </row>
  </sheetData>
  <sortState ref="J2:K28">
    <sortCondition descending="1" ref="J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 and OUT</vt:lpstr>
      <vt:lpstr>gtsfiles</vt:lpstr>
      <vt:lpstr>BPRPlot</vt:lpstr>
      <vt:lpstr>Boarding time function</vt:lpstr>
      <vt:lpstr>Limits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 Campora Szasz</dc:creator>
  <cp:lastModifiedBy>Arthur</cp:lastModifiedBy>
  <dcterms:created xsi:type="dcterms:W3CDTF">2008-05-21T18:53:47Z</dcterms:created>
  <dcterms:modified xsi:type="dcterms:W3CDTF">2015-09-07T20:44:52Z</dcterms:modified>
</cp:coreProperties>
</file>