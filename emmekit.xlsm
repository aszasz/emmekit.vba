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s\Development\emmekit.vba\"/>
    </mc:Choice>
  </mc:AlternateContent>
  <bookViews>
    <workbookView xWindow="0" yWindow="0" windowWidth="28800" windowHeight="13020" activeTab="1"/>
  </bookViews>
  <sheets>
    <sheet name="NET_PARAMETERS" sheetId="1" r:id="rId1"/>
    <sheet name="Cones_tool" sheetId="2" r:id="rId2"/>
    <sheet name="Sample_Data_for_Cones_tool" sheetId="6" r:id="rId3"/>
    <sheet name="Line_Mover_tool" sheetId="5" r:id="rId4"/>
    <sheet name="Trunk_feeder_tool" sheetId="4" r:id="rId5"/>
  </sheets>
  <functionGroups builtInGroupCount="18"/>
  <externalReferences>
    <externalReference r:id="rId6"/>
  </externalReferences>
  <definedNames>
    <definedName name="_xlnm.Database" localSheetId="3">#REF!</definedName>
    <definedName name="_xlnm.Databas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6" l="1"/>
  <c r="H9" i="6"/>
  <c r="G9" i="6"/>
  <c r="G8" i="6"/>
  <c r="H8" i="6"/>
  <c r="I7" i="6"/>
  <c r="F10" i="6"/>
  <c r="I8" i="6"/>
  <c r="H10" i="6"/>
  <c r="G10" i="6"/>
  <c r="K50" i="5" l="1"/>
  <c r="L50" i="5" s="1"/>
  <c r="M50" i="5" s="1"/>
  <c r="L49" i="5"/>
  <c r="L48" i="5"/>
  <c r="L46" i="5"/>
  <c r="L45" i="5"/>
  <c r="L44" i="5"/>
  <c r="L43" i="5"/>
  <c r="L42" i="5"/>
  <c r="M40" i="5"/>
  <c r="M45" i="5" s="1"/>
  <c r="M43" i="5" l="1"/>
  <c r="M44" i="5"/>
  <c r="M46" i="5"/>
  <c r="M42" i="5"/>
  <c r="M49" i="5"/>
  <c r="N50" i="5" s="1"/>
  <c r="M41" i="5"/>
  <c r="H17" i="1" l="1"/>
  <c r="H16" i="1"/>
  <c r="G17" i="1" l="1"/>
  <c r="G16" i="1"/>
  <c r="I17" i="1" l="1"/>
  <c r="I16" i="1"/>
  <c r="F17" i="1"/>
  <c r="E17" i="1"/>
  <c r="F16" i="1"/>
  <c r="E16" i="1"/>
</calcChain>
</file>

<file path=xl/sharedStrings.xml><?xml version="1.0" encoding="utf-8"?>
<sst xmlns="http://schemas.openxmlformats.org/spreadsheetml/2006/main" count="5651" uniqueCount="1589">
  <si>
    <t>NOW</t>
  </si>
  <si>
    <t>BH</t>
  </si>
  <si>
    <t>RJ</t>
  </si>
  <si>
    <t>X</t>
  </si>
  <si>
    <t>MIN_X</t>
  </si>
  <si>
    <t>&lt;-- For sizing screen search vectors XPointFinder and Y PointFinder (yes, it should be na Rtree, maybe later... This is still working fine)</t>
  </si>
  <si>
    <t>&lt;-- Para dimensionamento dos vetores de procura XPointFinder e YPointFinder</t>
  </si>
  <si>
    <t>MAX_X</t>
  </si>
  <si>
    <t>MIN_Y</t>
  </si>
  <si>
    <t>MAX_Y</t>
  </si>
  <si>
    <t>X_SCREEN_STEP</t>
  </si>
  <si>
    <t>&lt;-- Functions to find near points use rectangles of this width to screen the area, this works nicely if the screen is divided in 1000 X 1000 (see DIM_*POINTFINDER bellow)</t>
  </si>
  <si>
    <t>&lt;-- Para as funções de rastreamento, o ideal é que a tela tenha algo como 1000 x 1000, ver DIM_+POINT FINDER abaixo</t>
  </si>
  <si>
    <t>Y_SCREEN_STEP</t>
  </si>
  <si>
    <t>MaxNodeNumber</t>
  </si>
  <si>
    <t>MaxLinkList</t>
  </si>
  <si>
    <t>&lt;-- Número máximo de links na base, para economizar tempo de redimensionamento de váriaveis que recebem lista de links</t>
  </si>
  <si>
    <t>DIM_XPOINTFINDER</t>
  </si>
  <si>
    <t>&lt;-- Calculados Internamente, aqui só para verificação da dimensão</t>
  </si>
  <si>
    <t>DIM_YPOINTFINDER</t>
  </si>
  <si>
    <t>&lt;-- Maximum nunber of links in the base, saves resizing times in link listing vectors</t>
  </si>
  <si>
    <t>&lt;-- This is just for checking, the actual number is computed in the screening tool</t>
  </si>
  <si>
    <t>PA</t>
  </si>
  <si>
    <t>JKT</t>
  </si>
  <si>
    <t>&lt;-- EMME input/outuput largest node number accepted (set in module 1.23 - number of digits)</t>
  </si>
  <si>
    <t>&lt;-- Entradas do EMME, qual é o maior número de nó aceito (módulo 1.23 - número de dígitos)</t>
  </si>
  <si>
    <t>MD</t>
  </si>
  <si>
    <t>Arquivo de entrada da rede --&gt;</t>
  </si>
  <si>
    <t>Arquivo de entrada de linhas --&gt;</t>
  </si>
  <si>
    <t>Arquivo de saída da rede --&gt;</t>
  </si>
  <si>
    <t>Arquivo de saída de linhas --&gt;</t>
  </si>
  <si>
    <t>Local da tabela de integação (planilha/linha/coluna)</t>
  </si>
  <si>
    <t>Custo de caminhada na integração (metros/ real$) (0 não considera) --&gt;</t>
  </si>
  <si>
    <t>Network input file (generated in EMME Module 2.14)--&gt;</t>
  </si>
  <si>
    <t>Transit input file (generated in EMME Module 2.24)--&gt;</t>
  </si>
  <si>
    <t>C:\Users\User\Documents\Professional\PAlegreMLandmann</t>
  </si>
  <si>
    <t>Arquivo de entrada da rede (2.14 do EMME) --&gt;</t>
  </si>
  <si>
    <t>rede_2013.txt</t>
  </si>
  <si>
    <t>rede_2023.txt</t>
  </si>
  <si>
    <t>Arquivo de entrada de linhas (2.24 do EMME)--&gt;</t>
  </si>
  <si>
    <t>linhas_2013.txt</t>
  </si>
  <si>
    <t>linhas_2023.txt</t>
  </si>
  <si>
    <t>AlterRedeC11_2013.txt</t>
  </si>
  <si>
    <t>AlterRedeC82_2023.txt</t>
  </si>
  <si>
    <t>AlterRedeC83_2033.txt</t>
  </si>
  <si>
    <t>AlterRedeC12_2023.txt</t>
  </si>
  <si>
    <t>AlterRedeC21_2013.txt</t>
  </si>
  <si>
    <t>AlterRedeC22_2023.txt</t>
  </si>
  <si>
    <t>AlterRedeC31_2013.txt</t>
  </si>
  <si>
    <t>AlterRedeC32_2023.txt</t>
  </si>
  <si>
    <t>AlterRedeC33_2033.txt</t>
  </si>
  <si>
    <t>AlterRedeC41_2013.txt</t>
  </si>
  <si>
    <t>AlterRedeC42_2023.txt</t>
  </si>
  <si>
    <t>AlterRedeC43_2033.txt</t>
  </si>
  <si>
    <t>AlterRedeC51_2013.txt</t>
  </si>
  <si>
    <t>AlterRedeC52_2023.txt</t>
  </si>
  <si>
    <t>AlterRedeC53_2033.txt</t>
  </si>
  <si>
    <t>AlterRedeC61_2013.txt</t>
  </si>
  <si>
    <t>AlterRedeC62_2023.txt</t>
  </si>
  <si>
    <t>AlterRedeC63_2033.txt</t>
  </si>
  <si>
    <t>AlterRedeC71_2013.txt</t>
  </si>
  <si>
    <t>AlterRedeC72_2023.txt</t>
  </si>
  <si>
    <t>AlterRedeC73_2033.txt</t>
  </si>
  <si>
    <t>AlterRedeC81_2013.txt</t>
  </si>
  <si>
    <t>C11_NEW.txt</t>
  </si>
  <si>
    <t>C82_NEW.txt</t>
  </si>
  <si>
    <t>C83_NEW.txt</t>
  </si>
  <si>
    <t>C12_NEW.txt</t>
  </si>
  <si>
    <t>C21_NEW.txt</t>
  </si>
  <si>
    <t>C22_NEW.txt</t>
  </si>
  <si>
    <t>C31_NEW.txt</t>
  </si>
  <si>
    <t>C32_NEW.txt</t>
  </si>
  <si>
    <t>C33_NEW.txt</t>
  </si>
  <si>
    <t>C41_NEW.txt</t>
  </si>
  <si>
    <t>C42_NEW.txt</t>
  </si>
  <si>
    <t>C43_NEW.txt</t>
  </si>
  <si>
    <t>C51_NEW.txt</t>
  </si>
  <si>
    <t>C52_NEW.txt</t>
  </si>
  <si>
    <t>C53_NEW.txt</t>
  </si>
  <si>
    <t>C61_NEW.txt</t>
  </si>
  <si>
    <t>C62_NEW.txt</t>
  </si>
  <si>
    <t>C63_NEW.txt</t>
  </si>
  <si>
    <t>C71_NEW.txt</t>
  </si>
  <si>
    <t>C72_NEW.txt</t>
  </si>
  <si>
    <t>C73_NEW.txt</t>
  </si>
  <si>
    <t>C81_NEW.txt</t>
  </si>
  <si>
    <t xml:space="preserve">Arquivo ".txt" de entrada com links para 'splitar´ </t>
  </si>
  <si>
    <t>C11_2013.txt</t>
  </si>
  <si>
    <t>C82_2023.txt</t>
  </si>
  <si>
    <t>C83_2033.txt</t>
  </si>
  <si>
    <t>C12_2023.txt</t>
  </si>
  <si>
    <t>C21_2013.txt</t>
  </si>
  <si>
    <t>C22_2023.txt</t>
  </si>
  <si>
    <t>C31_2013.txt</t>
  </si>
  <si>
    <t>C32_2023.txt</t>
  </si>
  <si>
    <t>C33_2033.txt</t>
  </si>
  <si>
    <t>C41_2013.txt</t>
  </si>
  <si>
    <t>C42_2023.txt</t>
  </si>
  <si>
    <t>C43_2033.txt</t>
  </si>
  <si>
    <t>C51_2013.txt</t>
  </si>
  <si>
    <t>C52_2023.txt</t>
  </si>
  <si>
    <t>C53_2033.txt</t>
  </si>
  <si>
    <t>C61_2013.txt</t>
  </si>
  <si>
    <t>C62_2023.txt</t>
  </si>
  <si>
    <t>C63_2033.txt</t>
  </si>
  <si>
    <t>C71_2013.txt</t>
  </si>
  <si>
    <t>C72_2023.txt</t>
  </si>
  <si>
    <t>C73_2033.txt</t>
  </si>
  <si>
    <t>C81_2013.txt</t>
  </si>
  <si>
    <t>MENSAGENS:</t>
  </si>
  <si>
    <t>Lendo arquivo de rede.
Lendo arquivo de linhas.
Movendo Linhas.
Escrevendo linhas alteradas.
Escrevendo alterações de rede.</t>
  </si>
  <si>
    <t>INSTRUÇÕES:</t>
  </si>
  <si>
    <t>O botão "Local deste arquivo" apenas escreve o diretório aonde este arquivo se encontra na celula A4. Isso serve para ajudar a dar o diretório onde buscar os arquivos de entrada e saída</t>
  </si>
  <si>
    <t xml:space="preserve">Os arquivos de entrada e saída da rede e linhas são no formato EMME (Exportados via módulos 2.14 e 2.24, a serem importados via 2.11, 2.21) </t>
  </si>
  <si>
    <t>Os arquivos de entrada com instruções para o 'processamento de linhas, deve ser um arquivo texto que reconhece instruções nos seguintes formatos:</t>
  </si>
  <si>
    <t>123Ai X&gt; 789</t>
  </si>
  <si>
    <r>
      <t xml:space="preserve">&lt;- Corta todos os pontos da Linha </t>
    </r>
    <r>
      <rPr>
        <b/>
        <sz val="10"/>
        <rFont val="Arial"/>
        <family val="2"/>
      </rPr>
      <t>123Ai</t>
    </r>
    <r>
      <rPr>
        <sz val="10"/>
        <rFont val="Arial"/>
        <family val="2"/>
      </rPr>
      <t xml:space="preserve"> que vêm DEPOIS do ponto </t>
    </r>
    <r>
      <rPr>
        <b/>
        <sz val="10"/>
        <rFont val="Arial"/>
        <family val="2"/>
      </rPr>
      <t>789</t>
    </r>
  </si>
  <si>
    <t>123Av X&lt; 789</t>
  </si>
  <si>
    <r>
      <t xml:space="preserve">&lt;- Corta todos os pontos da Linha </t>
    </r>
    <r>
      <rPr>
        <b/>
        <sz val="10"/>
        <rFont val="Arial"/>
        <family val="2"/>
      </rPr>
      <t>123Av</t>
    </r>
    <r>
      <rPr>
        <sz val="10"/>
        <rFont val="Arial"/>
        <family val="2"/>
      </rPr>
      <t xml:space="preserve"> que vêm ANTES do ponto </t>
    </r>
    <r>
      <rPr>
        <b/>
        <sz val="10"/>
        <rFont val="Arial"/>
        <family val="2"/>
      </rPr>
      <t>789</t>
    </r>
  </si>
  <si>
    <t>234Bi +&gt; 767 898 1021</t>
  </si>
  <si>
    <r>
      <t xml:space="preserve">&lt;- Adiciona pontos depois do FIM da linha a </t>
    </r>
    <r>
      <rPr>
        <b/>
        <sz val="10"/>
        <rFont val="Arial"/>
        <family val="2"/>
      </rPr>
      <t>234Bi</t>
    </r>
    <r>
      <rPr>
        <sz val="10"/>
        <rFont val="Arial"/>
        <family val="2"/>
      </rPr>
      <t xml:space="preserve"> , para passar pelo caminho mínimo até os nós </t>
    </r>
    <r>
      <rPr>
        <b/>
        <sz val="10"/>
        <rFont val="Arial"/>
        <family val="2"/>
      </rPr>
      <t>767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898</t>
    </r>
    <r>
      <rPr>
        <sz val="10"/>
        <rFont val="Arial"/>
        <family val="2"/>
      </rPr>
      <t xml:space="preserve"> e acabar em </t>
    </r>
    <r>
      <rPr>
        <b/>
        <sz val="10"/>
        <rFont val="Arial"/>
        <family val="2"/>
      </rPr>
      <t>1021</t>
    </r>
  </si>
  <si>
    <t>234Bv +&lt; 1021 888 777</t>
  </si>
  <si>
    <r>
      <t xml:space="preserve">&lt;- Adiciona pontos no COMEÇO da linha </t>
    </r>
    <r>
      <rPr>
        <b/>
        <sz val="10"/>
        <rFont val="Arial"/>
        <family val="2"/>
      </rPr>
      <t>234Bv</t>
    </r>
    <r>
      <rPr>
        <sz val="10"/>
        <rFont val="Arial"/>
        <family val="2"/>
      </rPr>
      <t xml:space="preserve">, partindo de 1021 pelo caminho mínimo até os nós </t>
    </r>
    <r>
      <rPr>
        <b/>
        <sz val="10"/>
        <rFont val="Arial"/>
        <family val="2"/>
      </rPr>
      <t>888</t>
    </r>
    <r>
      <rPr>
        <sz val="10"/>
        <rFont val="Arial"/>
        <family val="2"/>
      </rPr>
      <t xml:space="preserve"> e </t>
    </r>
    <r>
      <rPr>
        <b/>
        <sz val="10"/>
        <rFont val="Arial"/>
        <family val="2"/>
      </rPr>
      <t>777</t>
    </r>
    <r>
      <rPr>
        <sz val="10"/>
        <rFont val="Arial"/>
        <family val="2"/>
      </rPr>
      <t xml:space="preserve"> até chegar no atual primeiro ponto da linha </t>
    </r>
  </si>
  <si>
    <t>345Ai -</t>
  </si>
  <si>
    <r>
      <t xml:space="preserve">&lt;- Elimina a linha </t>
    </r>
    <r>
      <rPr>
        <b/>
        <sz val="10"/>
        <rFont val="Arial"/>
        <family val="2"/>
      </rPr>
      <t>345Ai</t>
    </r>
  </si>
  <si>
    <t>linhas em branco são ignoradas</t>
  </si>
  <si>
    <t>linhas com "c" ou "C" na primeira coluna são ignoradas</t>
  </si>
  <si>
    <t>O arquivo é processado em ordem sequencial, é possível cortar linhas e depois estendê-las.</t>
  </si>
  <si>
    <t>D:\docs\Development\emmekit.vba</t>
  </si>
  <si>
    <t>Standard folder--&gt;
(when empty, files bellow need full path)</t>
  </si>
  <si>
    <t>Network output file (to input in EMME Module 2.11)--&gt;</t>
  </si>
  <si>
    <t>Transit output file (to  input in EMME Module 2.21)--&gt;</t>
  </si>
  <si>
    <t>RUNNING MESSAGES--&gt;</t>
  </si>
  <si>
    <t>* up to column CZ (=104)</t>
  </si>
  <si>
    <t>Standard Folder
(quando vazio, arquivos abaixo precisam  de caminho completo)</t>
  </si>
  <si>
    <t>ALL RACES WILL USE "NET_PARAMETERS" COLUMN 3</t>
  </si>
  <si>
    <t>ut3</t>
  </si>
  <si>
    <t>mode</t>
  </si>
  <si>
    <t>Modo  auxiliar onde se cobra a transferência</t>
  </si>
  <si>
    <t>walking mode (free)--&gt;</t>
  </si>
  <si>
    <t>p</t>
  </si>
  <si>
    <t>y</t>
  </si>
  <si>
    <t>ut1</t>
  </si>
  <si>
    <t>Allighting from</t>
  </si>
  <si>
    <t>B o a r d i n g      t o</t>
  </si>
  <si>
    <t>Patas</t>
  </si>
  <si>
    <t>TransJakarta</t>
  </si>
  <si>
    <t>Mikrolet</t>
  </si>
  <si>
    <t>Medium</t>
  </si>
  <si>
    <t>FIRST BOARDING</t>
  </si>
  <si>
    <t>b</t>
  </si>
  <si>
    <t>d</t>
  </si>
  <si>
    <t>e</t>
  </si>
  <si>
    <t>&lt;-- Group</t>
  </si>
  <si>
    <t>&lt;--Group CODE</t>
  </si>
  <si>
    <t>w</t>
  </si>
  <si>
    <t>&lt;-- This can be used to charge when exiting the system to the street</t>
  </si>
  <si>
    <t>Group code</t>
  </si>
  <si>
    <t>FARE_PRICES</t>
  </si>
  <si>
    <t>Fare_group_code</t>
  </si>
  <si>
    <t>Line</t>
  </si>
  <si>
    <t xml:space="preserve">        </t>
  </si>
  <si>
    <t>AC001B</t>
  </si>
  <si>
    <t>PULOGADUNG - ANGKE</t>
  </si>
  <si>
    <t>bus</t>
  </si>
  <si>
    <t>AC001F</t>
  </si>
  <si>
    <t>ANGKE - PULOGADUNG</t>
  </si>
  <si>
    <t>AC002B</t>
  </si>
  <si>
    <t>RAMBUTAN - KALIDERES</t>
  </si>
  <si>
    <t>AC002F</t>
  </si>
  <si>
    <t>KALIDERES - RAMBUTAN</t>
  </si>
  <si>
    <t>AC003B</t>
  </si>
  <si>
    <t>PULOGADUNG - KALIDER</t>
  </si>
  <si>
    <t>AC003F</t>
  </si>
  <si>
    <t>KALIDERES - PULOGADU</t>
  </si>
  <si>
    <t>AC007B</t>
  </si>
  <si>
    <t>RAMBUTAN - PRIOK</t>
  </si>
  <si>
    <t>AC007F</t>
  </si>
  <si>
    <t>PRIOK - RAMBUTAN</t>
  </si>
  <si>
    <t>AC008B</t>
  </si>
  <si>
    <t>PULOGADUNG - BLOKM</t>
  </si>
  <si>
    <t>AC008F</t>
  </si>
  <si>
    <t>BLOKM - PULOGADUNG</t>
  </si>
  <si>
    <t>AC010B</t>
  </si>
  <si>
    <t>RAMBUTAN - KOTA</t>
  </si>
  <si>
    <t>AC010F</t>
  </si>
  <si>
    <t>KOTA - RAMBUTAN</t>
  </si>
  <si>
    <t>AC011B</t>
  </si>
  <si>
    <t>PULOGADUNG - GROGOL</t>
  </si>
  <si>
    <t>AC011F</t>
  </si>
  <si>
    <t>GROGOL - PULOGADUNG</t>
  </si>
  <si>
    <t>AC016B</t>
  </si>
  <si>
    <t>RAWAMANGUN - LEBAKBU</t>
  </si>
  <si>
    <t>AC016F</t>
  </si>
  <si>
    <t>LEBAKBULUS - RAWAMAN</t>
  </si>
  <si>
    <t>AC017B</t>
  </si>
  <si>
    <t>KOTA - BEKASI</t>
  </si>
  <si>
    <t>AC017F</t>
  </si>
  <si>
    <t>BEKASI - KOTA</t>
  </si>
  <si>
    <t>AC024B</t>
  </si>
  <si>
    <t>SENEN - BEKASI</t>
  </si>
  <si>
    <t>AC024F</t>
  </si>
  <si>
    <t>BEKASI - SENEN</t>
  </si>
  <si>
    <t>AC025B</t>
  </si>
  <si>
    <t>PRIOK - BEKASI</t>
  </si>
  <si>
    <t>AC025F</t>
  </si>
  <si>
    <t>BEKASI - PRIOK</t>
  </si>
  <si>
    <t>AC026B</t>
  </si>
  <si>
    <t>GROGOL - BEKASI</t>
  </si>
  <si>
    <t>AC026F</t>
  </si>
  <si>
    <t>BEKASI - GROGOL</t>
  </si>
  <si>
    <t>AC028B</t>
  </si>
  <si>
    <t>KALIDERES - BEKASI</t>
  </si>
  <si>
    <t>AC028F</t>
  </si>
  <si>
    <t>BEKASI - KALIDERES</t>
  </si>
  <si>
    <t>AC029B</t>
  </si>
  <si>
    <t>AC029F</t>
  </si>
  <si>
    <t>AC030B</t>
  </si>
  <si>
    <t>RAMBUTAN - BLOKM</t>
  </si>
  <si>
    <t>AC030F</t>
  </si>
  <si>
    <t>BLOKM - RAMBUTAN</t>
  </si>
  <si>
    <t>AC032B</t>
  </si>
  <si>
    <t>RAWAMANGUN - GROGOL</t>
  </si>
  <si>
    <t>AC032F</t>
  </si>
  <si>
    <t>GROGOL - RAWAMANGUN</t>
  </si>
  <si>
    <t>AC033B</t>
  </si>
  <si>
    <t>KOTA - CIMONE</t>
  </si>
  <si>
    <t>AC033F</t>
  </si>
  <si>
    <t>CIMONE - KOTA</t>
  </si>
  <si>
    <t>AC034B</t>
  </si>
  <si>
    <t>TANGERANG - BLOKM</t>
  </si>
  <si>
    <t>AC034F</t>
  </si>
  <si>
    <t>BLOKM - TANGERANG</t>
  </si>
  <si>
    <t>AC035B</t>
  </si>
  <si>
    <t>SENEN - CILEDUG</t>
  </si>
  <si>
    <t>AC035F</t>
  </si>
  <si>
    <t>CILEDUG - SENEN</t>
  </si>
  <si>
    <t>AC040B</t>
  </si>
  <si>
    <t>LEBAKBULUS - GROGOL</t>
  </si>
  <si>
    <t>AC040F</t>
  </si>
  <si>
    <t>GROGOL - LEBAKBULUS</t>
  </si>
  <si>
    <t>AC042B</t>
  </si>
  <si>
    <t>AC042F</t>
  </si>
  <si>
    <t>AC043B</t>
  </si>
  <si>
    <t>GROGOL - CIBINONG</t>
  </si>
  <si>
    <t>AC043F</t>
  </si>
  <si>
    <t>CIBINONG - GROGOL</t>
  </si>
  <si>
    <t>AC044B</t>
  </si>
  <si>
    <t>AC044F</t>
  </si>
  <si>
    <t>AC047B</t>
  </si>
  <si>
    <t>SENEN - RAMBUTAN</t>
  </si>
  <si>
    <t>AC047F</t>
  </si>
  <si>
    <t>RAMBUTAN - SENEN</t>
  </si>
  <si>
    <t>AC048B</t>
  </si>
  <si>
    <t>GROGOL - DEPOK</t>
  </si>
  <si>
    <t>AC048F</t>
  </si>
  <si>
    <t>DEPOK - GROGOL</t>
  </si>
  <si>
    <t>AC049B</t>
  </si>
  <si>
    <t>TANJUNG PRIOK - BLOK</t>
  </si>
  <si>
    <t>AC049F</t>
  </si>
  <si>
    <t>BLOK M - TANJUNG PRI</t>
  </si>
  <si>
    <t>AC050B</t>
  </si>
  <si>
    <t>MELAIU - KALIDERES</t>
  </si>
  <si>
    <t>AC050F</t>
  </si>
  <si>
    <t>KALIDERES - MELAIU</t>
  </si>
  <si>
    <t>AC051B</t>
  </si>
  <si>
    <t>AC051F</t>
  </si>
  <si>
    <t>AC052B</t>
  </si>
  <si>
    <t>TANAHABANG - BEKASI</t>
  </si>
  <si>
    <t>AC052F</t>
  </si>
  <si>
    <t>BEKASI - TANAHABANG</t>
  </si>
  <si>
    <t>AC055B</t>
  </si>
  <si>
    <t>KLENDER - GROGOL</t>
  </si>
  <si>
    <t>AC055F</t>
  </si>
  <si>
    <t>GROGOL - KLENDER</t>
  </si>
  <si>
    <t>AC061B</t>
  </si>
  <si>
    <t>PULOGADUNG - CILEDUG</t>
  </si>
  <si>
    <t>AC061F</t>
  </si>
  <si>
    <t>CILEDUG - PULOGADUNG</t>
  </si>
  <si>
    <t>AC062B</t>
  </si>
  <si>
    <t>SENEN - CIMONE</t>
  </si>
  <si>
    <t>AC062F</t>
  </si>
  <si>
    <t>CIMONE - SENEN</t>
  </si>
  <si>
    <t>AC065B</t>
  </si>
  <si>
    <t>PRIOK - BLOKM</t>
  </si>
  <si>
    <t>AC065F</t>
  </si>
  <si>
    <t>BLOKM - PRIOK</t>
  </si>
  <si>
    <t>AC069B</t>
  </si>
  <si>
    <t>KALIDERES - BLOKM</t>
  </si>
  <si>
    <t>AC069F</t>
  </si>
  <si>
    <t>BLOKM - KALIDERES</t>
  </si>
  <si>
    <t>AC070B</t>
  </si>
  <si>
    <t>TANAHABANG - RAMBUTA</t>
  </si>
  <si>
    <t>AC070F</t>
  </si>
  <si>
    <t>RAMBUTAN - TANAHABAN</t>
  </si>
  <si>
    <t>AC073B</t>
  </si>
  <si>
    <t>RAMBUTAN - CILEDUG</t>
  </si>
  <si>
    <t>AC073F</t>
  </si>
  <si>
    <t>CILEDUG - RAMBUTAN</t>
  </si>
  <si>
    <t>AC074B</t>
  </si>
  <si>
    <t>TANGERANG - RAMBUTAN</t>
  </si>
  <si>
    <t>AC074F</t>
  </si>
  <si>
    <t>RAMBUTAN - TANGERANG</t>
  </si>
  <si>
    <t>AC076B</t>
  </si>
  <si>
    <t>SENEN - CIPUTAT</t>
  </si>
  <si>
    <t>AC076F</t>
  </si>
  <si>
    <t>CIPUTAT - SENEN</t>
  </si>
  <si>
    <t>AC077B</t>
  </si>
  <si>
    <t>TANJUNGPRIOK - KALID</t>
  </si>
  <si>
    <t>AC077F</t>
  </si>
  <si>
    <t>KALIDERES - TANJUNGP</t>
  </si>
  <si>
    <t>AC078B</t>
  </si>
  <si>
    <t>AC078F</t>
  </si>
  <si>
    <t>AC079B</t>
  </si>
  <si>
    <t>UKI - KOTA</t>
  </si>
  <si>
    <t>AC079F</t>
  </si>
  <si>
    <t>KOTA - UKI</t>
  </si>
  <si>
    <t>AC080B</t>
  </si>
  <si>
    <t>RAMBUTAN - BLOK M</t>
  </si>
  <si>
    <t>AC080F</t>
  </si>
  <si>
    <t>BLOK M - RAMBUTAN</t>
  </si>
  <si>
    <t>AC081B</t>
  </si>
  <si>
    <t>KALIDERES - DEPOK</t>
  </si>
  <si>
    <t>AC081F</t>
  </si>
  <si>
    <t>DEPOK - KALIDERES</t>
  </si>
  <si>
    <t>AC082B</t>
  </si>
  <si>
    <t>TANJUNGPRIOK - DEPOK</t>
  </si>
  <si>
    <t>AC082F</t>
  </si>
  <si>
    <t>DEPOK - TANJUNGPRIOK</t>
  </si>
  <si>
    <t>AC084B</t>
  </si>
  <si>
    <t>PULOGADUNG - DEPOK</t>
  </si>
  <si>
    <t>AC084F</t>
  </si>
  <si>
    <t>DEPOK - PULOGADUNG</t>
  </si>
  <si>
    <t>AC086B</t>
  </si>
  <si>
    <t>KOTA - DEPOK</t>
  </si>
  <si>
    <t>AC086F</t>
  </si>
  <si>
    <t>DEPOK - KOTA</t>
  </si>
  <si>
    <t>AC102B</t>
  </si>
  <si>
    <t>TANAHABANG - DEPOK</t>
  </si>
  <si>
    <t>AC102F</t>
  </si>
  <si>
    <t>DEPOK - TANAHABANG</t>
  </si>
  <si>
    <t>AC104B</t>
  </si>
  <si>
    <t>MELAIU - CIMONE</t>
  </si>
  <si>
    <t>AC104F</t>
  </si>
  <si>
    <t>CIMONE - MELAIU</t>
  </si>
  <si>
    <t>AC115B</t>
  </si>
  <si>
    <t>TANGERANG - PULOGADU</t>
  </si>
  <si>
    <t>AC115F</t>
  </si>
  <si>
    <t>PULOGADUNG - TANGERA</t>
  </si>
  <si>
    <t>AC119B</t>
  </si>
  <si>
    <t>AC119F</t>
  </si>
  <si>
    <t>AC122B</t>
  </si>
  <si>
    <t>SENEN - CIKARANG</t>
  </si>
  <si>
    <t>AC122F</t>
  </si>
  <si>
    <t>CIKARANG - SENEN</t>
  </si>
  <si>
    <t>AC130B</t>
  </si>
  <si>
    <t>RAMBUTAN - CIKARANG</t>
  </si>
  <si>
    <t>AC130F</t>
  </si>
  <si>
    <t>CIKARANG - RAMBUTAN</t>
  </si>
  <si>
    <t>AC133B</t>
  </si>
  <si>
    <t>TANAHABANG - CIMONE</t>
  </si>
  <si>
    <t>AC133F</t>
  </si>
  <si>
    <t>CIMONE - TANAHABANG</t>
  </si>
  <si>
    <t>AC135B</t>
  </si>
  <si>
    <t>TANJUNGPRIOK - CIPUT</t>
  </si>
  <si>
    <t>AC135F</t>
  </si>
  <si>
    <t>CIPUTAT - TANJUNGPRI</t>
  </si>
  <si>
    <t>ACB02B</t>
  </si>
  <si>
    <t>PASARBARU - GROGOL</t>
  </si>
  <si>
    <t>ACB02F</t>
  </si>
  <si>
    <t>GROGOL - PASARBARU</t>
  </si>
  <si>
    <t>ACLBSB</t>
  </si>
  <si>
    <t>LEBAKBULUS - BEKASI</t>
  </si>
  <si>
    <t>ACLBSF</t>
  </si>
  <si>
    <t>BEKASI - LEBAKBULUS</t>
  </si>
  <si>
    <t>ACX25B</t>
  </si>
  <si>
    <t>ACX25F</t>
  </si>
  <si>
    <t>BMK1</t>
  </si>
  <si>
    <t>Busway</t>
  </si>
  <si>
    <t>BMK2</t>
  </si>
  <si>
    <t>CD002B</t>
  </si>
  <si>
    <t>JOMBANG - CILEDUG</t>
  </si>
  <si>
    <t>CD002F</t>
  </si>
  <si>
    <t>CILEDUG - JOMBANG</t>
  </si>
  <si>
    <t>CD006B</t>
  </si>
  <si>
    <t>KUNCIRAN - CILEDUG</t>
  </si>
  <si>
    <t>CD006F</t>
  </si>
  <si>
    <t>CILEDUG - KUNCIRAN</t>
  </si>
  <si>
    <t>CD009B</t>
  </si>
  <si>
    <t>LEBAK BULUS - ARINDA</t>
  </si>
  <si>
    <t>CD009F</t>
  </si>
  <si>
    <t>ARINDA - LEBAK BULUS</t>
  </si>
  <si>
    <t>CD011B</t>
  </si>
  <si>
    <t>PONDOK KACANG - CILE</t>
  </si>
  <si>
    <t>CD011F</t>
  </si>
  <si>
    <t>CILEDUG - PONDOK KAC</t>
  </si>
  <si>
    <t>CD014B</t>
  </si>
  <si>
    <t>LEBAK BULUS - CILEDU</t>
  </si>
  <si>
    <t>CD014F</t>
  </si>
  <si>
    <t>CILEDUG - LEBAK BULU</t>
  </si>
  <si>
    <t>CD03XB</t>
  </si>
  <si>
    <t>DAAN MOGOT - CILEDUG</t>
  </si>
  <si>
    <t>CD03XF</t>
  </si>
  <si>
    <t>CILEDUG - DAAN MOGOT</t>
  </si>
  <si>
    <t>CD05XB</t>
  </si>
  <si>
    <t>TAMAN CEGER - KEBAYO</t>
  </si>
  <si>
    <t>CD05XF</t>
  </si>
  <si>
    <t>KEBAYORAN LAMA - TAM</t>
  </si>
  <si>
    <t>CD061B</t>
  </si>
  <si>
    <t>PASAR MINGU - CINERE</t>
  </si>
  <si>
    <t>busmedium</t>
  </si>
  <si>
    <t>CD061F</t>
  </si>
  <si>
    <t>CINERE - PASAR MINGU</t>
  </si>
  <si>
    <t>CD06AB</t>
  </si>
  <si>
    <t>CILEDUG - CIKOKOL</t>
  </si>
  <si>
    <t>CD06AF</t>
  </si>
  <si>
    <t>CIKOKOL - CILEDUG</t>
  </si>
  <si>
    <t>CIKOKB</t>
  </si>
  <si>
    <t>RAWABUAIA - CIKOKOL</t>
  </si>
  <si>
    <t>CIKOKF</t>
  </si>
  <si>
    <t>CIKOKOL - RAWABUAIA</t>
  </si>
  <si>
    <t>CP001B</t>
  </si>
  <si>
    <t>KEBAYORAN LAMA - CIP</t>
  </si>
  <si>
    <t>CP001F</t>
  </si>
  <si>
    <t>CIPUTAT - KEBAYORAN</t>
  </si>
  <si>
    <t>CP002B</t>
  </si>
  <si>
    <t>PONDOK LABU - CIPUTA</t>
  </si>
  <si>
    <t>CP002F</t>
  </si>
  <si>
    <t>CIPUTAT - PONDOK LAB</t>
  </si>
  <si>
    <t>CP018B</t>
  </si>
  <si>
    <t>CIPUTAT - CILEDUG</t>
  </si>
  <si>
    <t>CP018F</t>
  </si>
  <si>
    <t>CILEDUG - CIPUTAT</t>
  </si>
  <si>
    <t>CP114B</t>
  </si>
  <si>
    <t>CIPUTAT - CINERE</t>
  </si>
  <si>
    <t>CP114F</t>
  </si>
  <si>
    <t>CINERE - CIPUTAT</t>
  </si>
  <si>
    <t>DP019B</t>
  </si>
  <si>
    <t>TMII - DEPOK</t>
  </si>
  <si>
    <t>DP019F</t>
  </si>
  <si>
    <t>DEPOK - TMII</t>
  </si>
  <si>
    <t>DP037B</t>
  </si>
  <si>
    <t>PASAR CISALAK - KAMP</t>
  </si>
  <si>
    <t>DP037F</t>
  </si>
  <si>
    <t>KAMPUNG RAMBUTAN - P</t>
  </si>
  <si>
    <t>DP041B</t>
  </si>
  <si>
    <t>KAMPUNG RAMBUTAN - C</t>
  </si>
  <si>
    <t>DP041F</t>
  </si>
  <si>
    <t>CIBINONG - KAMPUNG R</t>
  </si>
  <si>
    <t>DP091B</t>
  </si>
  <si>
    <t>DP091F</t>
  </si>
  <si>
    <t>CITEUREUP - KAMPUNG</t>
  </si>
  <si>
    <t>DP102B</t>
  </si>
  <si>
    <t>PARUNG BINGUNG - LEB</t>
  </si>
  <si>
    <t>DP102F</t>
  </si>
  <si>
    <t>LEBAK BULUS - PARUNG</t>
  </si>
  <si>
    <t>DP105B</t>
  </si>
  <si>
    <t>LEBAK BULUS - DEPOK</t>
  </si>
  <si>
    <t>DP105F</t>
  </si>
  <si>
    <t>DEPOK - LEBAK BULUS</t>
  </si>
  <si>
    <t>DP106B</t>
  </si>
  <si>
    <t>PARUNG - LEBAK BULUS</t>
  </si>
  <si>
    <t>DP106F</t>
  </si>
  <si>
    <t>DP112B</t>
  </si>
  <si>
    <t>KAMPUNG RAMBUTAN - D</t>
  </si>
  <si>
    <t>DP112F</t>
  </si>
  <si>
    <t>DEPOK - KAMPUNG RAMB</t>
  </si>
  <si>
    <t>DP121B</t>
  </si>
  <si>
    <t>DP121F</t>
  </si>
  <si>
    <t>CILEUNGSI - KAMPUNG</t>
  </si>
  <si>
    <t>DP129B</t>
  </si>
  <si>
    <t>PASAR MINGU - MEKARS</t>
  </si>
  <si>
    <t>DP129F</t>
  </si>
  <si>
    <t>MEKARSARI - PASAR MI</t>
  </si>
  <si>
    <t>G5B</t>
  </si>
  <si>
    <t>PONDOK GEDE - KALIMA</t>
  </si>
  <si>
    <t>G5F</t>
  </si>
  <si>
    <t>KALIMALANG - PONDOK</t>
  </si>
  <si>
    <t>JB001B</t>
  </si>
  <si>
    <t>MUARA ANGKE - GROGOL</t>
  </si>
  <si>
    <t>JB001F</t>
  </si>
  <si>
    <t>GROGOL - MUARA ANGKE</t>
  </si>
  <si>
    <t>JB003B</t>
  </si>
  <si>
    <t>TANAH ABANG - GROGOL</t>
  </si>
  <si>
    <t>JB003F</t>
  </si>
  <si>
    <t>GROGOL - TANAH ABANG</t>
  </si>
  <si>
    <t>JP03AB</t>
  </si>
  <si>
    <t>ROXI - KARET</t>
  </si>
  <si>
    <t>JP03AF</t>
  </si>
  <si>
    <t>KARET - ROXI</t>
  </si>
  <si>
    <t>JT001B</t>
  </si>
  <si>
    <t>RAWAMANGUN - KLENDER</t>
  </si>
  <si>
    <t>JT001F</t>
  </si>
  <si>
    <t>KLENDER - RAWAMANGUN</t>
  </si>
  <si>
    <t>JT002B</t>
  </si>
  <si>
    <t>RAWAMANGUN - CURUG</t>
  </si>
  <si>
    <t>JT002F</t>
  </si>
  <si>
    <t>CURUG - RAWAMANGUN</t>
  </si>
  <si>
    <t>JT003B</t>
  </si>
  <si>
    <t>PUPAR - KLENDER</t>
  </si>
  <si>
    <t>JT003F</t>
  </si>
  <si>
    <t>KLENDER - PUPAR</t>
  </si>
  <si>
    <t>JU001B</t>
  </si>
  <si>
    <t>SEMPER - CILINCING</t>
  </si>
  <si>
    <t>JU001F</t>
  </si>
  <si>
    <t>CILINCING - SEMPER</t>
  </si>
  <si>
    <t>JU002B</t>
  </si>
  <si>
    <t>TANJUNG PRIOK - PASA</t>
  </si>
  <si>
    <t>JU002F</t>
  </si>
  <si>
    <t>PASAR EMBRIO - TANJU</t>
  </si>
  <si>
    <t>JU003B</t>
  </si>
  <si>
    <t>TANJUNG PRIOK - SUNT</t>
  </si>
  <si>
    <t>JU003F</t>
  </si>
  <si>
    <t>SUNTER JAYA - TANJUN</t>
  </si>
  <si>
    <t>JU004B</t>
  </si>
  <si>
    <t>TANJUNG PRIUK - KOTA</t>
  </si>
  <si>
    <t>JU004F</t>
  </si>
  <si>
    <t>KOTA - TANJUNG PRIUK</t>
  </si>
  <si>
    <t>KA022B</t>
  </si>
  <si>
    <t>PONDOK GEDE - PANGKA</t>
  </si>
  <si>
    <t>KA022F</t>
  </si>
  <si>
    <t>PANGKALAN JATI - PON</t>
  </si>
  <si>
    <t>KB001B</t>
  </si>
  <si>
    <t>GROGOL - ANGKE</t>
  </si>
  <si>
    <t>KB001F</t>
  </si>
  <si>
    <t>ANGKE - GROGOL</t>
  </si>
  <si>
    <t>KB002F</t>
  </si>
  <si>
    <t>PASARPAGI - PESING</t>
  </si>
  <si>
    <t>KB003B</t>
  </si>
  <si>
    <t>MERUYA - GROGOL</t>
  </si>
  <si>
    <t>KB003F</t>
  </si>
  <si>
    <t>GROGOL - MERUYA</t>
  </si>
  <si>
    <t>KB004B</t>
  </si>
  <si>
    <t>MERUYA ILIR - KALIDE</t>
  </si>
  <si>
    <t>KB004F</t>
  </si>
  <si>
    <t>KALIDERES - MERUYA I</t>
  </si>
  <si>
    <t>KB005F</t>
  </si>
  <si>
    <t xml:space="preserve"> -</t>
  </si>
  <si>
    <t>KB006B</t>
  </si>
  <si>
    <t>KOTA - KAPUK KAMAL</t>
  </si>
  <si>
    <t>KB006F</t>
  </si>
  <si>
    <t>KAPUK KAMAL - KOTA</t>
  </si>
  <si>
    <t>KB007B</t>
  </si>
  <si>
    <t>RAWABOKOR - CENGKARE</t>
  </si>
  <si>
    <t>KB007F</t>
  </si>
  <si>
    <t>CENGKARENG - RAWABOK</t>
  </si>
  <si>
    <t>KB011B</t>
  </si>
  <si>
    <t>KAMAL - CENGKARENG</t>
  </si>
  <si>
    <t>KB011F</t>
  </si>
  <si>
    <t>CENGKARENG - KAMAL</t>
  </si>
  <si>
    <t>KB017B</t>
  </si>
  <si>
    <t>KEBAYORAN LAMA - GRO</t>
  </si>
  <si>
    <t>KB017F</t>
  </si>
  <si>
    <t>GROGOL - KEBAYORAN L</t>
  </si>
  <si>
    <t>KO001B</t>
  </si>
  <si>
    <t>PULOGADUNG - PERUM I</t>
  </si>
  <si>
    <t>KO001F</t>
  </si>
  <si>
    <t>PERUM I - PULOGADUNG</t>
  </si>
  <si>
    <t>KO002B</t>
  </si>
  <si>
    <t>SUMBER ARTA - PONDOK</t>
  </si>
  <si>
    <t>KO002F</t>
  </si>
  <si>
    <t>PONDOK GEDE - SUMBER</t>
  </si>
  <si>
    <t>KO008B</t>
  </si>
  <si>
    <t>KO008F</t>
  </si>
  <si>
    <t>KO020B</t>
  </si>
  <si>
    <t>SUMBER ARTA - KLENDE</t>
  </si>
  <si>
    <t>KO020F</t>
  </si>
  <si>
    <t>KLENDER - SUMBER ART</t>
  </si>
  <si>
    <t>KO021B</t>
  </si>
  <si>
    <t>RAMBUTAN - PASAR KEC</t>
  </si>
  <si>
    <t>KO021F</t>
  </si>
  <si>
    <t>PASAR KECAPI - RAMBU</t>
  </si>
  <si>
    <t>KO024B</t>
  </si>
  <si>
    <t>PONDOK GEDE - CAKUNG</t>
  </si>
  <si>
    <t>KO024F</t>
  </si>
  <si>
    <t>CAKUNG - PONDOK GEDE</t>
  </si>
  <si>
    <t>KO025B</t>
  </si>
  <si>
    <t>KLENDER - GRAND MAL</t>
  </si>
  <si>
    <t>KO025F</t>
  </si>
  <si>
    <t>GRAND MAL KRANJI - K</t>
  </si>
  <si>
    <t>KO026B</t>
  </si>
  <si>
    <t>TRANSMIGRASI - RAWAM</t>
  </si>
  <si>
    <t>KO026F</t>
  </si>
  <si>
    <t>RAWAMANGUN - TRANSMI</t>
  </si>
  <si>
    <t>KO02BB</t>
  </si>
  <si>
    <t>PONDOK GEDE - BEKASI</t>
  </si>
  <si>
    <t>KO02BF</t>
  </si>
  <si>
    <t>BEKASI - PONDOK GEDE</t>
  </si>
  <si>
    <t>KO03B</t>
  </si>
  <si>
    <t>KRANJI - KLENDER</t>
  </si>
  <si>
    <t>KO03F</t>
  </si>
  <si>
    <t>KLENDER - KRANJI</t>
  </si>
  <si>
    <t>KO06AB</t>
  </si>
  <si>
    <t>KRANGGAN - KAMPUNG R</t>
  </si>
  <si>
    <t>KO06AF</t>
  </si>
  <si>
    <t>KAMPUNG RAMBUTAN - K</t>
  </si>
  <si>
    <t>KO06BB</t>
  </si>
  <si>
    <t>UJUNG ASPAL - KAMPUN</t>
  </si>
  <si>
    <t>KO06BF</t>
  </si>
  <si>
    <t>KAMPUNG RAMBUTAN - U</t>
  </si>
  <si>
    <t>KO22AB</t>
  </si>
  <si>
    <t>PONDOK KOPI - PONDOK</t>
  </si>
  <si>
    <t>KO22AF</t>
  </si>
  <si>
    <t>PONDOK GEDE - PONDOK</t>
  </si>
  <si>
    <t>KO24AB</t>
  </si>
  <si>
    <t>PONDOK GEDE - CILILI</t>
  </si>
  <si>
    <t>KO24AF</t>
  </si>
  <si>
    <t>CILILITAN - PONDOK G</t>
  </si>
  <si>
    <t>KO33AB</t>
  </si>
  <si>
    <t>TAMAN TITIAN INDAH -</t>
  </si>
  <si>
    <t>KO33AF</t>
  </si>
  <si>
    <t>PULOGADUNG - TAMAN T</t>
  </si>
  <si>
    <t>KO37B</t>
  </si>
  <si>
    <t>VILA JATIRASA - KLEN</t>
  </si>
  <si>
    <t>KO37F</t>
  </si>
  <si>
    <t>KLENDER - VILA JATIR</t>
  </si>
  <si>
    <t>KO40B</t>
  </si>
  <si>
    <t>PEKAYON - KAMPUNG RA</t>
  </si>
  <si>
    <t>KO40F</t>
  </si>
  <si>
    <t>KOA28B</t>
  </si>
  <si>
    <t>KOA28F</t>
  </si>
  <si>
    <t>CIANGSANA - KAMPUNG</t>
  </si>
  <si>
    <t>KS005B</t>
  </si>
  <si>
    <t>TOPLAS - PASAR MINGU</t>
  </si>
  <si>
    <t>KS005F</t>
  </si>
  <si>
    <t>PASAR MINGU - TOPLAS</t>
  </si>
  <si>
    <t>KS006B</t>
  </si>
  <si>
    <t>TAMAN PURING - PONDO</t>
  </si>
  <si>
    <t>KS006F</t>
  </si>
  <si>
    <t>PONDOK AREN - TAMAN</t>
  </si>
  <si>
    <t>KS007B</t>
  </si>
  <si>
    <t>PONDOK AREN - KEBAYO</t>
  </si>
  <si>
    <t>KS007F</t>
  </si>
  <si>
    <t>KEBAYORAN LAMA - PON</t>
  </si>
  <si>
    <t>KS009B</t>
  </si>
  <si>
    <t>KREO - GREENGARDEN</t>
  </si>
  <si>
    <t>KS009F</t>
  </si>
  <si>
    <t>GREENGARDEN - KREO</t>
  </si>
  <si>
    <t>KS010B</t>
  </si>
  <si>
    <t>CINERE - BINTARO</t>
  </si>
  <si>
    <t>KS010F</t>
  </si>
  <si>
    <t>BINTARO - CINERE</t>
  </si>
  <si>
    <t>KS011B</t>
  </si>
  <si>
    <t>PASAR MINGGU - LEBAK</t>
  </si>
  <si>
    <t>KS011F</t>
  </si>
  <si>
    <t>LEBAK BULUS - PASAR</t>
  </si>
  <si>
    <t>KS012B</t>
  </si>
  <si>
    <t>LEBAK BULUS - CIPEDA</t>
  </si>
  <si>
    <t>KS012F</t>
  </si>
  <si>
    <t>CIPEDAK - LEBAK BULU</t>
  </si>
  <si>
    <t>KS015B</t>
  </si>
  <si>
    <t>PASAR MINGU - GRAHA</t>
  </si>
  <si>
    <t>KS015F</t>
  </si>
  <si>
    <t>GRAHA CIJANTUNG - PA</t>
  </si>
  <si>
    <t>KS054B</t>
  </si>
  <si>
    <t>PASAR MINGGU - KAMPU</t>
  </si>
  <si>
    <t>KS054F</t>
  </si>
  <si>
    <t>KS05AB</t>
  </si>
  <si>
    <t>RAWAJATI - PASAR MIN</t>
  </si>
  <si>
    <t>KS05AF</t>
  </si>
  <si>
    <t>PASAR MINGU - RAWAJA</t>
  </si>
  <si>
    <t>KS15AB</t>
  </si>
  <si>
    <t>TMII - RAGUNAN</t>
  </si>
  <si>
    <t>KS15AF</t>
  </si>
  <si>
    <t>RAGUNAN - TMII</t>
  </si>
  <si>
    <t>KS54XB</t>
  </si>
  <si>
    <t>PONDOK GEDE - KAMPUN</t>
  </si>
  <si>
    <t>KS54XF</t>
  </si>
  <si>
    <t>KT001B</t>
  </si>
  <si>
    <t>CILILITAN - BAMBU AP</t>
  </si>
  <si>
    <t>KT001F</t>
  </si>
  <si>
    <t>BAMBU APUS - CILILIT</t>
  </si>
  <si>
    <t>KT003B</t>
  </si>
  <si>
    <t>MUNJUL - CILILITAN</t>
  </si>
  <si>
    <t>KT003F</t>
  </si>
  <si>
    <t>CILILITAN - MUNJUL</t>
  </si>
  <si>
    <t>KT004B</t>
  </si>
  <si>
    <t>KT004F</t>
  </si>
  <si>
    <t>KT005B</t>
  </si>
  <si>
    <t>SETU - CILILITAN</t>
  </si>
  <si>
    <t>KT005F</t>
  </si>
  <si>
    <t>CILILITAN - SETU</t>
  </si>
  <si>
    <t>KT006B</t>
  </si>
  <si>
    <t>KT006F</t>
  </si>
  <si>
    <t>KT007B</t>
  </si>
  <si>
    <t>CONDET - CILILITA</t>
  </si>
  <si>
    <t>KT007F</t>
  </si>
  <si>
    <t>CILILITAN - CONDET</t>
  </si>
  <si>
    <t>KT010B</t>
  </si>
  <si>
    <t>CILILITAN - CHANDRA</t>
  </si>
  <si>
    <t>KT010F</t>
  </si>
  <si>
    <t>CHANDRA - CILILITAN</t>
  </si>
  <si>
    <t>KT017B</t>
  </si>
  <si>
    <t>MAKASAR - CILILITAN</t>
  </si>
  <si>
    <t>KT017F</t>
  </si>
  <si>
    <t>CILILITAN - MAKASAR</t>
  </si>
  <si>
    <t>KT020B</t>
  </si>
  <si>
    <t>PERUM BEKASI I - PUL</t>
  </si>
  <si>
    <t>KT020F</t>
  </si>
  <si>
    <t>PERUM 1 BEKASI - PUL</t>
  </si>
  <si>
    <t>KT022B</t>
  </si>
  <si>
    <t>RAWA KUNING - PULOGA</t>
  </si>
  <si>
    <t>KT022F</t>
  </si>
  <si>
    <t>PULOGADUNG - RAWA KU</t>
  </si>
  <si>
    <t>KT023B</t>
  </si>
  <si>
    <t>PULOGADUNG - LAMPIRI</t>
  </si>
  <si>
    <t>KT023F</t>
  </si>
  <si>
    <t>LAMPIRI - PULOGADUNG</t>
  </si>
  <si>
    <t>KT025B</t>
  </si>
  <si>
    <t>RAWAMANGUN - PONDOK</t>
  </si>
  <si>
    <t>KT025F</t>
  </si>
  <si>
    <t>PONDOK KOPI - RAWAMA</t>
  </si>
  <si>
    <t>KT027B</t>
  </si>
  <si>
    <t>RAWAMANGUN - KALIMAL</t>
  </si>
  <si>
    <t>KT027F</t>
  </si>
  <si>
    <t>KALIMALANG - RAWAMAN</t>
  </si>
  <si>
    <t>KT028B</t>
  </si>
  <si>
    <t>ROROTAN - PULOGADUNG</t>
  </si>
  <si>
    <t>KT028F</t>
  </si>
  <si>
    <t>PULOGADUNG - ROROTAN</t>
  </si>
  <si>
    <t>KT029B</t>
  </si>
  <si>
    <t>UJUNG KARAWANG - PUL</t>
  </si>
  <si>
    <t>KT029F</t>
  </si>
  <si>
    <t>PULOGADUNG - UJUNG K</t>
  </si>
  <si>
    <t>KT030B</t>
  </si>
  <si>
    <t>PULOGADUNG - GEMPOL</t>
  </si>
  <si>
    <t>KT030F</t>
  </si>
  <si>
    <t>GEMPOL - PULOGADUNG</t>
  </si>
  <si>
    <t>KT031B</t>
  </si>
  <si>
    <t>PULOGADUNG - HARAPAN</t>
  </si>
  <si>
    <t>KT031F</t>
  </si>
  <si>
    <t>HARAPAN INDAH - PULO</t>
  </si>
  <si>
    <t>KT032B</t>
  </si>
  <si>
    <t>PULOGADUNG - PEJUANG</t>
  </si>
  <si>
    <t>KT032F</t>
  </si>
  <si>
    <t>PEJUANG - PULOGADUNG</t>
  </si>
  <si>
    <t>KT033B</t>
  </si>
  <si>
    <t>KT033F</t>
  </si>
  <si>
    <t>HARAPAN JAIA - PULOG</t>
  </si>
  <si>
    <t>KT20AB</t>
  </si>
  <si>
    <t>KT20AF</t>
  </si>
  <si>
    <t>HARAPAN BARU - PULOG</t>
  </si>
  <si>
    <t>KT33AB</t>
  </si>
  <si>
    <t>TITIAN INDAH - PULOG</t>
  </si>
  <si>
    <t>KT33AF</t>
  </si>
  <si>
    <t>PULOGADUNG - TITIAN</t>
  </si>
  <si>
    <t>KU001B</t>
  </si>
  <si>
    <t>TANJUNG PRIOK - SEMP</t>
  </si>
  <si>
    <t>KU001F</t>
  </si>
  <si>
    <t>SEMPER - TANJUNG PRI</t>
  </si>
  <si>
    <t>KU002B</t>
  </si>
  <si>
    <t>KU002F</t>
  </si>
  <si>
    <t>KU003B</t>
  </si>
  <si>
    <t>TANJUNG PRIOK - SUKA</t>
  </si>
  <si>
    <t>KU003F</t>
  </si>
  <si>
    <t>SUKAPURA - TANJUNG P</t>
  </si>
  <si>
    <t>KU004B</t>
  </si>
  <si>
    <t>VESPA - RAWAMANGUN</t>
  </si>
  <si>
    <t>KU004F</t>
  </si>
  <si>
    <t>RAWAMANGUN - VESPA</t>
  </si>
  <si>
    <t>KU005B</t>
  </si>
  <si>
    <t>TANJUNG PRIOK - BULA</t>
  </si>
  <si>
    <t>KU005F</t>
  </si>
  <si>
    <t>BULAK TURI - TANJUNG</t>
  </si>
  <si>
    <t>KU006B</t>
  </si>
  <si>
    <t>WALANG BARU - TANJUN</t>
  </si>
  <si>
    <t>KU006F</t>
  </si>
  <si>
    <t>TANJUNG PRIOK - WALA</t>
  </si>
  <si>
    <t>KU007B</t>
  </si>
  <si>
    <t>TANJUNG PRIOK - IGI</t>
  </si>
  <si>
    <t>KU007F</t>
  </si>
  <si>
    <t>IGI - TANJUNG PRIOK</t>
  </si>
  <si>
    <t>KU008B</t>
  </si>
  <si>
    <t>TANJUNG PRIOK - RORO</t>
  </si>
  <si>
    <t>KU008F</t>
  </si>
  <si>
    <t>ROROTAN - TANJUNG PR</t>
  </si>
  <si>
    <t>KU009B</t>
  </si>
  <si>
    <t>TANJUNG PRIOK - CILI</t>
  </si>
  <si>
    <t>KU009F</t>
  </si>
  <si>
    <t>CILINCING - TANJUNG</t>
  </si>
  <si>
    <t>KU010B</t>
  </si>
  <si>
    <t>PLUIT - KOTA</t>
  </si>
  <si>
    <t>KU010F</t>
  </si>
  <si>
    <t>KOTA - PLUIT</t>
  </si>
  <si>
    <t>KU02XB</t>
  </si>
  <si>
    <t>MARUNDA - CILINCING</t>
  </si>
  <si>
    <t>KU02XF</t>
  </si>
  <si>
    <t>CILINCING - MARUNDA</t>
  </si>
  <si>
    <t>KU10XB</t>
  </si>
  <si>
    <t>SUNTER - KOTA</t>
  </si>
  <si>
    <t>KU10XF</t>
  </si>
  <si>
    <t>KOTA - SUNTER</t>
  </si>
  <si>
    <t>MB007B</t>
  </si>
  <si>
    <t>TANAHABANG - MELAIU</t>
  </si>
  <si>
    <t>MB007F</t>
  </si>
  <si>
    <t>MELAIU - TANAHABANG</t>
  </si>
  <si>
    <t>MD001B</t>
  </si>
  <si>
    <t>TAMAN SOLO - SENEN</t>
  </si>
  <si>
    <t>MD001F</t>
  </si>
  <si>
    <t>SENEN - TAMAN SOLO</t>
  </si>
  <si>
    <t>MD002B</t>
  </si>
  <si>
    <t>SENEN - MUARAKARANG</t>
  </si>
  <si>
    <t>MD002F</t>
  </si>
  <si>
    <t>MUARAKARANG - SENEN</t>
  </si>
  <si>
    <t>MD003B</t>
  </si>
  <si>
    <t>SENEN - RAWAMANGUN</t>
  </si>
  <si>
    <t>MD003F</t>
  </si>
  <si>
    <t>RAWAMANGUN - SENEN</t>
  </si>
  <si>
    <t>MD004B</t>
  </si>
  <si>
    <t>PASAR BARU - GROGOL</t>
  </si>
  <si>
    <t>MD004F</t>
  </si>
  <si>
    <t>GROGOL - PASAR BARU</t>
  </si>
  <si>
    <t>MD005B</t>
  </si>
  <si>
    <t>SENEN - MADANI</t>
  </si>
  <si>
    <t>MD005F</t>
  </si>
  <si>
    <t>MADANI - SENEN</t>
  </si>
  <si>
    <t>MD006B</t>
  </si>
  <si>
    <t>JAIAKARTA - GROGOL</t>
  </si>
  <si>
    <t>MD006F</t>
  </si>
  <si>
    <t>GROGOL - JAIAKARTA</t>
  </si>
  <si>
    <t>MD007B</t>
  </si>
  <si>
    <t>SENEN - SEMPER</t>
  </si>
  <si>
    <t>MD007F</t>
  </si>
  <si>
    <t>SEMPER - SENEN</t>
  </si>
  <si>
    <t>MD010B</t>
  </si>
  <si>
    <t>SENEN - BENDUNGAN JA</t>
  </si>
  <si>
    <t>MD010F</t>
  </si>
  <si>
    <t>BENDUNGAN JAGO - SEN</t>
  </si>
  <si>
    <t>MD011B</t>
  </si>
  <si>
    <t>MD011F</t>
  </si>
  <si>
    <t>MD012B</t>
  </si>
  <si>
    <t>SENEN - KALIDERES</t>
  </si>
  <si>
    <t>MD012F</t>
  </si>
  <si>
    <t>KALIDERES - SENEN</t>
  </si>
  <si>
    <t>MD015B</t>
  </si>
  <si>
    <t>SETIABUDI - SENEN</t>
  </si>
  <si>
    <t>MD015F</t>
  </si>
  <si>
    <t>SENEN - SETIABUDI</t>
  </si>
  <si>
    <t>MD016B</t>
  </si>
  <si>
    <t>TANAH ABANG - CILEDU</t>
  </si>
  <si>
    <t>MD016F</t>
  </si>
  <si>
    <t>CILEDUG - TANAH ABAN</t>
  </si>
  <si>
    <t>MD017B</t>
  </si>
  <si>
    <t>SENEN - MANGARAI</t>
  </si>
  <si>
    <t>MD017F</t>
  </si>
  <si>
    <t>MANGARAI - SENEN</t>
  </si>
  <si>
    <t>MD019B</t>
  </si>
  <si>
    <t>TANAHABANG - RAGUNAN</t>
  </si>
  <si>
    <t>MD019F</t>
  </si>
  <si>
    <t>RAGUNAN - TANAHABANG</t>
  </si>
  <si>
    <t>MD020B</t>
  </si>
  <si>
    <t>SENEN - LEBAK BULUS</t>
  </si>
  <si>
    <t>MD020F</t>
  </si>
  <si>
    <t>LEBAK BULUS - SENEN</t>
  </si>
  <si>
    <t>MD023B</t>
  </si>
  <si>
    <t>MD023F</t>
  </si>
  <si>
    <t>MD024B</t>
  </si>
  <si>
    <t>TANJUNG PRIOK - SENE</t>
  </si>
  <si>
    <t>MD024F</t>
  </si>
  <si>
    <t>SENEN - TANJUNG PRIO</t>
  </si>
  <si>
    <t>MD027B</t>
  </si>
  <si>
    <t>SENEN - KELAPAGADING</t>
  </si>
  <si>
    <t>MD027F</t>
  </si>
  <si>
    <t>KELAPAGADING - SENEN</t>
  </si>
  <si>
    <t>MD029B</t>
  </si>
  <si>
    <t>MUARA BARU - KOTA</t>
  </si>
  <si>
    <t>MD029F</t>
  </si>
  <si>
    <t>KOTA - MUARA BARU</t>
  </si>
  <si>
    <t>MD030B</t>
  </si>
  <si>
    <t>MUARA ANGKE - KOTA</t>
  </si>
  <si>
    <t>MD030F</t>
  </si>
  <si>
    <t>KOTA - MUARA ANGKE</t>
  </si>
  <si>
    <t>MD031B</t>
  </si>
  <si>
    <t>KOTA - KELAPA GADING</t>
  </si>
  <si>
    <t>MD031F</t>
  </si>
  <si>
    <t>KELAPA GADING - KOTA</t>
  </si>
  <si>
    <t>MD036B</t>
  </si>
  <si>
    <t>PSMINGU - JAGAKARSA</t>
  </si>
  <si>
    <t>MD036F</t>
  </si>
  <si>
    <t>JAGAKARSA - PSMINGU</t>
  </si>
  <si>
    <t>MD040B</t>
  </si>
  <si>
    <t>MD040F</t>
  </si>
  <si>
    <t>MD041B</t>
  </si>
  <si>
    <t>TANJUNG PRIOK - PULO</t>
  </si>
  <si>
    <t>MD041F</t>
  </si>
  <si>
    <t>PULOGADUNG - TANJUNG</t>
  </si>
  <si>
    <t>MD042B</t>
  </si>
  <si>
    <t>PULOGADUNG - KLENDER</t>
  </si>
  <si>
    <t>MD042F</t>
  </si>
  <si>
    <t>KLENDER - PULOGADUNG</t>
  </si>
  <si>
    <t>MD043B</t>
  </si>
  <si>
    <t>SEROJA - PULOGADUNG</t>
  </si>
  <si>
    <t>MD043F</t>
  </si>
  <si>
    <t>PULOGADUNG - SEROJA</t>
  </si>
  <si>
    <t>MD044B</t>
  </si>
  <si>
    <t>PULOGEBANG - PULOGAD</t>
  </si>
  <si>
    <t>MD044F</t>
  </si>
  <si>
    <t>PULOGADUNG - PULOGEB</t>
  </si>
  <si>
    <t>MD045B</t>
  </si>
  <si>
    <t>PULOGADUNG - PONDOK</t>
  </si>
  <si>
    <t>MD045F</t>
  </si>
  <si>
    <t>PONDOK GEDE - PULOGA</t>
  </si>
  <si>
    <t>MD046B</t>
  </si>
  <si>
    <t>PULOGADUNG - MELAIU</t>
  </si>
  <si>
    <t>MD046F</t>
  </si>
  <si>
    <t>KAMPUNG MELAIU - PUL</t>
  </si>
  <si>
    <t>MD047B</t>
  </si>
  <si>
    <t>SENEN - PONDOKOPI</t>
  </si>
  <si>
    <t>MD047F</t>
  </si>
  <si>
    <t>PONDOKOPI - SENEN</t>
  </si>
  <si>
    <t>MD048B</t>
  </si>
  <si>
    <t>PONDOKOPI - CILILITA</t>
  </si>
  <si>
    <t>MD048F</t>
  </si>
  <si>
    <t>CILILITAN - PONDOKOP</t>
  </si>
  <si>
    <t>MD049B</t>
  </si>
  <si>
    <t>PULOGADUNG - MANGARA</t>
  </si>
  <si>
    <t>MD049F</t>
  </si>
  <si>
    <t>MANGARAI - PULOGADUN</t>
  </si>
  <si>
    <t>MD050B</t>
  </si>
  <si>
    <t>MELAIU - KLENDER</t>
  </si>
  <si>
    <t>MD050F</t>
  </si>
  <si>
    <t>KLENDER - MELAIU</t>
  </si>
  <si>
    <t>MD052B</t>
  </si>
  <si>
    <t>PONDOKOPI - MELAIU</t>
  </si>
  <si>
    <t>MD052F</t>
  </si>
  <si>
    <t>MELAIU - PONDOKOPI</t>
  </si>
  <si>
    <t>MD053B</t>
  </si>
  <si>
    <t>MD053F</t>
  </si>
  <si>
    <t>KAMPUNG MELAYU - KAM</t>
  </si>
  <si>
    <t>MD054B</t>
  </si>
  <si>
    <t>PONDOK KELAPA - MELA</t>
  </si>
  <si>
    <t>MD054F</t>
  </si>
  <si>
    <t>MELAIU - PONDOK KELA</t>
  </si>
  <si>
    <t>MD056B</t>
  </si>
  <si>
    <t>HALIM - CILEUNGSI</t>
  </si>
  <si>
    <t>MD056F</t>
  </si>
  <si>
    <t>CILEUNGSI - HALIM</t>
  </si>
  <si>
    <t>MD057B</t>
  </si>
  <si>
    <t>CILILITAN - BLOKM</t>
  </si>
  <si>
    <t>MD057F</t>
  </si>
  <si>
    <t>BLOKM - CILILITAN</t>
  </si>
  <si>
    <t>MD058B</t>
  </si>
  <si>
    <t>KLENDER - CILILITAN</t>
  </si>
  <si>
    <t>MD058F</t>
  </si>
  <si>
    <t>CILILITAN - KLENDER</t>
  </si>
  <si>
    <t>MD060B</t>
  </si>
  <si>
    <t>MELAIU - MANGARAI</t>
  </si>
  <si>
    <t>MD060F</t>
  </si>
  <si>
    <t>MANGARAI - MELAIU</t>
  </si>
  <si>
    <t>MD062B</t>
  </si>
  <si>
    <t>PASARMINGU - MANGARA</t>
  </si>
  <si>
    <t>MD062F</t>
  </si>
  <si>
    <t>MANGARAI - PASARMING</t>
  </si>
  <si>
    <t>MD063B</t>
  </si>
  <si>
    <t>DEPOK - BLOKM</t>
  </si>
  <si>
    <t>MD063F</t>
  </si>
  <si>
    <t>BLOKM - DEPOK</t>
  </si>
  <si>
    <t>MD064B</t>
  </si>
  <si>
    <t>PASAR MINGGU - CILIL</t>
  </si>
  <si>
    <t>MD064F</t>
  </si>
  <si>
    <t>CILILITAN - PASAR MI</t>
  </si>
  <si>
    <t>MD066B</t>
  </si>
  <si>
    <t>MANGARAI - BLOKM</t>
  </si>
  <si>
    <t>MD066F</t>
  </si>
  <si>
    <t>BLOKM - MANGARAI</t>
  </si>
  <si>
    <t>MD068B</t>
  </si>
  <si>
    <t>RAGUNAN - MELAIU</t>
  </si>
  <si>
    <t>MD068F</t>
  </si>
  <si>
    <t>MELAIU - RAGUNAN</t>
  </si>
  <si>
    <t>MD069B</t>
  </si>
  <si>
    <t>CILEDUG - BLOKM</t>
  </si>
  <si>
    <t>MD069F</t>
  </si>
  <si>
    <t>BLOKM - CILEDUG</t>
  </si>
  <si>
    <t>MD070B</t>
  </si>
  <si>
    <t>JOGLO - BLOKM</t>
  </si>
  <si>
    <t>MD070F</t>
  </si>
  <si>
    <t>BLOKM - JOGLO</t>
  </si>
  <si>
    <t>MD072B</t>
  </si>
  <si>
    <t>LEBAK BULUS - BLOK M</t>
  </si>
  <si>
    <t>MD072F</t>
  </si>
  <si>
    <t>BLOK M - LEBAK BULUS</t>
  </si>
  <si>
    <t>MD074B</t>
  </si>
  <si>
    <t>REMPOA - BLOKM</t>
  </si>
  <si>
    <t>MD074F</t>
  </si>
  <si>
    <t>BLOKM - REMPOA</t>
  </si>
  <si>
    <t>MD075B</t>
  </si>
  <si>
    <t>PSMINGU - BLOKM</t>
  </si>
  <si>
    <t>MD075F</t>
  </si>
  <si>
    <t>BLOKM - PSMINGU</t>
  </si>
  <si>
    <t>MD076B</t>
  </si>
  <si>
    <t>KAMPUNG RAMBUTAN - B</t>
  </si>
  <si>
    <t>MD076F</t>
  </si>
  <si>
    <t>BLOK M - KAMPUNG RAM</t>
  </si>
  <si>
    <t>MD077B</t>
  </si>
  <si>
    <t>RAGUNAN - BLOKM</t>
  </si>
  <si>
    <t>MD077F</t>
  </si>
  <si>
    <t>BLOKM - RAGUNAN</t>
  </si>
  <si>
    <t>MD079B</t>
  </si>
  <si>
    <t>MD079F</t>
  </si>
  <si>
    <t>MD080B</t>
  </si>
  <si>
    <t>KALIDERES - GROGOL</t>
  </si>
  <si>
    <t>MD080F</t>
  </si>
  <si>
    <t>GROGOL - KALIDERES</t>
  </si>
  <si>
    <t>MD082B</t>
  </si>
  <si>
    <t>KAPUK - GROGOL</t>
  </si>
  <si>
    <t>MD082F</t>
  </si>
  <si>
    <t>GROGOL - KAPUK</t>
  </si>
  <si>
    <t>MD083B</t>
  </si>
  <si>
    <t>MD083F</t>
  </si>
  <si>
    <t>MD084B</t>
  </si>
  <si>
    <t>KOTA TUA - KALIDERES</t>
  </si>
  <si>
    <t>MD084F</t>
  </si>
  <si>
    <t>KALIDERES - KOTA TUA</t>
  </si>
  <si>
    <t>MD085B</t>
  </si>
  <si>
    <t>LEBAK BULUS - KALIDE</t>
  </si>
  <si>
    <t>MD085F</t>
  </si>
  <si>
    <t>KALIDERES - LEBAK BU</t>
  </si>
  <si>
    <t>MD086B</t>
  </si>
  <si>
    <t>LEBAK BULUS - KOTA</t>
  </si>
  <si>
    <t>MD086F</t>
  </si>
  <si>
    <t>KOTA - LEBAK BULUS</t>
  </si>
  <si>
    <t>MD088B</t>
  </si>
  <si>
    <t>SLIPI - KALIDERES</t>
  </si>
  <si>
    <t>MD088F</t>
  </si>
  <si>
    <t>KALIDERES - SLIPI</t>
  </si>
  <si>
    <t>MD091B</t>
  </si>
  <si>
    <t>MD091F</t>
  </si>
  <si>
    <t>MD092B</t>
  </si>
  <si>
    <t>GROGOL - CILEDUG</t>
  </si>
  <si>
    <t>MD092F</t>
  </si>
  <si>
    <t>CILEDUG - GROGOL</t>
  </si>
  <si>
    <t>MD093B</t>
  </si>
  <si>
    <t>TANAH ABANG - KALIDE</t>
  </si>
  <si>
    <t>MD093F</t>
  </si>
  <si>
    <t>KALIDERES - TANAH AB</t>
  </si>
  <si>
    <t>MD102B</t>
  </si>
  <si>
    <t>TANAH ABANG - CIPUTA</t>
  </si>
  <si>
    <t>MD102F</t>
  </si>
  <si>
    <t>CIPUTAT - TANAH ABAN</t>
  </si>
  <si>
    <t>MD502B</t>
  </si>
  <si>
    <t>TANAH ABANG - RAMBUT</t>
  </si>
  <si>
    <t>MD502F</t>
  </si>
  <si>
    <t>RAMBUTAN - TANAH ABA</t>
  </si>
  <si>
    <t>MD506B</t>
  </si>
  <si>
    <t>MD506F</t>
  </si>
  <si>
    <t>MD509B</t>
  </si>
  <si>
    <t>LEBAK BULUS - KAMPUN</t>
  </si>
  <si>
    <t>MD509F</t>
  </si>
  <si>
    <t>KAMPUNG RAMBUTAN - L</t>
  </si>
  <si>
    <t>MD510B</t>
  </si>
  <si>
    <t>MD510F</t>
  </si>
  <si>
    <t>CIPUTAT - KAMPUNG RA</t>
  </si>
  <si>
    <t>MD511B</t>
  </si>
  <si>
    <t>MD511F</t>
  </si>
  <si>
    <t>MD512B</t>
  </si>
  <si>
    <t>CIPUTAT - PULOGADUNG</t>
  </si>
  <si>
    <t>MD512F</t>
  </si>
  <si>
    <t>MD602B</t>
  </si>
  <si>
    <t>MD602F</t>
  </si>
  <si>
    <t>MD604B</t>
  </si>
  <si>
    <t>TANAHABANG - PSMINGU</t>
  </si>
  <si>
    <t>MD604F</t>
  </si>
  <si>
    <t>PSMINGU - TANAHABANG</t>
  </si>
  <si>
    <t>MD605B</t>
  </si>
  <si>
    <t>MD605F</t>
  </si>
  <si>
    <t>MD608B</t>
  </si>
  <si>
    <t>TANAH ABANG - BLOKM</t>
  </si>
  <si>
    <t>MD608F</t>
  </si>
  <si>
    <t>BLOKM - TANAH ABANG</t>
  </si>
  <si>
    <t>MD609B</t>
  </si>
  <si>
    <t>MERUYA - BLOK M</t>
  </si>
  <si>
    <t>MD609F</t>
  </si>
  <si>
    <t>BLOK M - MERUYA</t>
  </si>
  <si>
    <t>MD610B</t>
  </si>
  <si>
    <t>PONDOK LABU - BLOKM</t>
  </si>
  <si>
    <t>MD610F</t>
  </si>
  <si>
    <t>BLOKM - PONDOK LABU</t>
  </si>
  <si>
    <t>MD611B</t>
  </si>
  <si>
    <t>MD611F</t>
  </si>
  <si>
    <t>MD612B</t>
  </si>
  <si>
    <t>MD612F</t>
  </si>
  <si>
    <t>MD613B</t>
  </si>
  <si>
    <t>BLOK M - BINTARO JAI</t>
  </si>
  <si>
    <t>MD613F</t>
  </si>
  <si>
    <t>BINTARO JAIA - BLOKM</t>
  </si>
  <si>
    <t>MD615B</t>
  </si>
  <si>
    <t>TANAH ABANG - LEBAK</t>
  </si>
  <si>
    <t>MD615F</t>
  </si>
  <si>
    <t>LEBAK BULUS - TANAH</t>
  </si>
  <si>
    <t>MD621B</t>
  </si>
  <si>
    <t>CIPUTAT - BLOK M</t>
  </si>
  <si>
    <t>MD621F</t>
  </si>
  <si>
    <t>BLOK M - CIPUTAT</t>
  </si>
  <si>
    <t>MDCKGB</t>
  </si>
  <si>
    <t>PULOGADUNG - CIKARAN</t>
  </si>
  <si>
    <t>MDCKGF</t>
  </si>
  <si>
    <t>CIKARANG - PULOGADUN</t>
  </si>
  <si>
    <t>MDCKPB</t>
  </si>
  <si>
    <t>PULOGADUNG - CIKAMPE</t>
  </si>
  <si>
    <t>MDCKPF</t>
  </si>
  <si>
    <t>CIKAMPEK - PULOGADUN</t>
  </si>
  <si>
    <t>MDCTRB</t>
  </si>
  <si>
    <t>MDCTRF</t>
  </si>
  <si>
    <t>MDDEBB</t>
  </si>
  <si>
    <t>MDDEBF</t>
  </si>
  <si>
    <t>MDRDB</t>
  </si>
  <si>
    <t>RAMBUTAN - DEPOK TIM</t>
  </si>
  <si>
    <t>MDRDF</t>
  </si>
  <si>
    <t>DEPOK TIMUR - RAMBUT</t>
  </si>
  <si>
    <t>MDSJBB</t>
  </si>
  <si>
    <t>PASAR MINGU - BOGOR</t>
  </si>
  <si>
    <t>MDSJBF</t>
  </si>
  <si>
    <t>BOGOR - PASAR MINGU</t>
  </si>
  <si>
    <t>MDSJDB</t>
  </si>
  <si>
    <t>PASAR MINGU - DEPOK</t>
  </si>
  <si>
    <t>MDSJDF</t>
  </si>
  <si>
    <t>DEPOK - PSMINGU</t>
  </si>
  <si>
    <t>MK001B</t>
  </si>
  <si>
    <t>SENEN - MELAIU</t>
  </si>
  <si>
    <t>MK001F</t>
  </si>
  <si>
    <t>MELAIU - SENEN</t>
  </si>
  <si>
    <t>MK002B</t>
  </si>
  <si>
    <t>MK002F</t>
  </si>
  <si>
    <t>MELAIU - PULOGADUNG</t>
  </si>
  <si>
    <t>MK003B</t>
  </si>
  <si>
    <t>PWI - MELAIU</t>
  </si>
  <si>
    <t>MK003F</t>
  </si>
  <si>
    <t>MELAIU - PWI</t>
  </si>
  <si>
    <t>MK004B</t>
  </si>
  <si>
    <t>RAWASARI - CILILITAN</t>
  </si>
  <si>
    <t>MK004F</t>
  </si>
  <si>
    <t>CILILITAN - RAWASARI</t>
  </si>
  <si>
    <t>MK006B</t>
  </si>
  <si>
    <t>MELAIU - GANDARIA</t>
  </si>
  <si>
    <t>MK006F</t>
  </si>
  <si>
    <t>GANDARIA - MELAIU</t>
  </si>
  <si>
    <t>MK007B</t>
  </si>
  <si>
    <t>HALIM - CILILITAN</t>
  </si>
  <si>
    <t>MK007F</t>
  </si>
  <si>
    <t>CILILITAN - HALIM</t>
  </si>
  <si>
    <t>MK008B</t>
  </si>
  <si>
    <t>TANAH ABANG - KOTA</t>
  </si>
  <si>
    <t>MK008F</t>
  </si>
  <si>
    <t>KOTA - TANAH ABANG</t>
  </si>
  <si>
    <t>MK009B</t>
  </si>
  <si>
    <t>TANAH ABANG - KEBAIO</t>
  </si>
  <si>
    <t>MK009F</t>
  </si>
  <si>
    <t>KEBAIORAN LAMA - TAN</t>
  </si>
  <si>
    <t>MK010B</t>
  </si>
  <si>
    <t>TANAH ABANG - JEMBAT</t>
  </si>
  <si>
    <t>MK010F</t>
  </si>
  <si>
    <t>JEMBATAN LIMA - TANA</t>
  </si>
  <si>
    <t>MK011B</t>
  </si>
  <si>
    <t>TANAH ABANG - KEBON</t>
  </si>
  <si>
    <t>MK011F</t>
  </si>
  <si>
    <t>KEBON JERUK - TANAH</t>
  </si>
  <si>
    <t>MK012B</t>
  </si>
  <si>
    <t>SENEN - KOTA</t>
  </si>
  <si>
    <t>MK012F</t>
  </si>
  <si>
    <t>KOTA - SENEN</t>
  </si>
  <si>
    <t>MK013B</t>
  </si>
  <si>
    <t>KOTA - KALIDERES</t>
  </si>
  <si>
    <t>MK013F</t>
  </si>
  <si>
    <t>KALIDERES - KOTA</t>
  </si>
  <si>
    <t>MK014B</t>
  </si>
  <si>
    <t>MK014F</t>
  </si>
  <si>
    <t>MK015B</t>
  </si>
  <si>
    <t>TANJUNG PRIOK - KOTA</t>
  </si>
  <si>
    <t>MK015F</t>
  </si>
  <si>
    <t>KOTA - TANJUNG PRIOK</t>
  </si>
  <si>
    <t>MK016B</t>
  </si>
  <si>
    <t>PASAR MINGU - MELAIU</t>
  </si>
  <si>
    <t>MK016F</t>
  </si>
  <si>
    <t>MELAIU - PASAR MINGU</t>
  </si>
  <si>
    <t>MK018B</t>
  </si>
  <si>
    <t>PONDOK GEDE - MELAIU</t>
  </si>
  <si>
    <t>MK018F</t>
  </si>
  <si>
    <t>MELAIU - PONDOK GEDE</t>
  </si>
  <si>
    <t>MK019B</t>
  </si>
  <si>
    <t>KRANJI - CILILITAN</t>
  </si>
  <si>
    <t>MK019F</t>
  </si>
  <si>
    <t>CILILITAN - KRANJI</t>
  </si>
  <si>
    <t>MK01AB</t>
  </si>
  <si>
    <t>MK01AF</t>
  </si>
  <si>
    <t>MK020B</t>
  </si>
  <si>
    <t>PASAR MINGU - GANDUL</t>
  </si>
  <si>
    <t>MK020F</t>
  </si>
  <si>
    <t>GANDUL - PASAR MINGU</t>
  </si>
  <si>
    <t>MK021B</t>
  </si>
  <si>
    <t>MK021F</t>
  </si>
  <si>
    <t>MK023B</t>
  </si>
  <si>
    <t>PEDURENAN - MANGARAI</t>
  </si>
  <si>
    <t>MK023F</t>
  </si>
  <si>
    <t>MANGARAI - PEDURENAN</t>
  </si>
  <si>
    <t>MK025B</t>
  </si>
  <si>
    <t>KOTA TUA - GROGOL</t>
  </si>
  <si>
    <t>MK025F</t>
  </si>
  <si>
    <t>GROGOL - KOTA TUA</t>
  </si>
  <si>
    <t>MK026B</t>
  </si>
  <si>
    <t>MELAIU - BEKASI</t>
  </si>
  <si>
    <t>MK026F</t>
  </si>
  <si>
    <t>BEKASI - MELAIU</t>
  </si>
  <si>
    <t>MK027B</t>
  </si>
  <si>
    <t>PULOGADUNG - KAMPUNG</t>
  </si>
  <si>
    <t>MK027F</t>
  </si>
  <si>
    <t>KAMPUNG MELAYU - PUL</t>
  </si>
  <si>
    <t>MK028B</t>
  </si>
  <si>
    <t>MK028F</t>
  </si>
  <si>
    <t>MK029B</t>
  </si>
  <si>
    <t>MK029F</t>
  </si>
  <si>
    <t>MK02AB</t>
  </si>
  <si>
    <t>MELAIU - KALIBATA</t>
  </si>
  <si>
    <t>MK02AF</t>
  </si>
  <si>
    <t>KALIBATA - MELAIU</t>
  </si>
  <si>
    <t>MK030B</t>
  </si>
  <si>
    <t>MK030F</t>
  </si>
  <si>
    <t>MK031B</t>
  </si>
  <si>
    <t>MK031F</t>
  </si>
  <si>
    <t>MK032B</t>
  </si>
  <si>
    <t>MK032F</t>
  </si>
  <si>
    <t>MK035B</t>
  </si>
  <si>
    <t>MK035F</t>
  </si>
  <si>
    <t>MK036B</t>
  </si>
  <si>
    <t>PASAR MINGU - JAGAKA</t>
  </si>
  <si>
    <t>MK036F</t>
  </si>
  <si>
    <t>JAGAKARSA - PASAR MI</t>
  </si>
  <si>
    <t>MK037B</t>
  </si>
  <si>
    <t>SENEN - PULOGADUNG</t>
  </si>
  <si>
    <t>MK037F</t>
  </si>
  <si>
    <t>PULOGADUNG - SENEN</t>
  </si>
  <si>
    <t>MK039B</t>
  </si>
  <si>
    <t>MK039F</t>
  </si>
  <si>
    <t>MK041B</t>
  </si>
  <si>
    <t>JEMBATAN BESI - GROG</t>
  </si>
  <si>
    <t>MK041F</t>
  </si>
  <si>
    <t>GROGOL - JEMBATAN BE</t>
  </si>
  <si>
    <t>MK043B</t>
  </si>
  <si>
    <t>MK043F</t>
  </si>
  <si>
    <t>MK044B</t>
  </si>
  <si>
    <t>MELAIU - KARET</t>
  </si>
  <si>
    <t>MK044F</t>
  </si>
  <si>
    <t>KARET - MELAIU</t>
  </si>
  <si>
    <t>MK045B</t>
  </si>
  <si>
    <t>GROGOL - GRENVIL</t>
  </si>
  <si>
    <t>MK045F</t>
  </si>
  <si>
    <t>GRENVIL - GROGOL</t>
  </si>
  <si>
    <t>MK046B</t>
  </si>
  <si>
    <t>MK046F</t>
  </si>
  <si>
    <t>MK048B</t>
  </si>
  <si>
    <t>PASAR CIPULIR - KALI</t>
  </si>
  <si>
    <t>MK048F</t>
  </si>
  <si>
    <t>KALIDERES - PASAR CI</t>
  </si>
  <si>
    <t>MK049B</t>
  </si>
  <si>
    <t>TANJUNG PRIOK - ANCO</t>
  </si>
  <si>
    <t>MK049F</t>
  </si>
  <si>
    <t>ANCOL BARAT - TANJUN</t>
  </si>
  <si>
    <t>MK053B</t>
  </si>
  <si>
    <t>PULOGADUNG - KOTA</t>
  </si>
  <si>
    <t>MK053F</t>
  </si>
  <si>
    <t>KOTA - PULOGADUNG</t>
  </si>
  <si>
    <t>MK06AB</t>
  </si>
  <si>
    <t>MK06AF</t>
  </si>
  <si>
    <t>MK09AB</t>
  </si>
  <si>
    <t>MK09AF</t>
  </si>
  <si>
    <t>MK15AB</t>
  </si>
  <si>
    <t>MK15AF</t>
  </si>
  <si>
    <t>MK30AB</t>
  </si>
  <si>
    <t>MK30AF</t>
  </si>
  <si>
    <t>NE002B</t>
  </si>
  <si>
    <t>NE002F</t>
  </si>
  <si>
    <t>NE003B</t>
  </si>
  <si>
    <t>PULOGADUNG - LEBAKBU</t>
  </si>
  <si>
    <t>NE003F</t>
  </si>
  <si>
    <t>LEBAKBULUS - PULOGAD</t>
  </si>
  <si>
    <t>P002B</t>
  </si>
  <si>
    <t>P002F</t>
  </si>
  <si>
    <t>P004B</t>
  </si>
  <si>
    <t>P004F</t>
  </si>
  <si>
    <t>P006B</t>
  </si>
  <si>
    <t>RAMBUTAN - GROGOL</t>
  </si>
  <si>
    <t>P006BB</t>
  </si>
  <si>
    <t>RAMBUTAN - MUARAKARA</t>
  </si>
  <si>
    <t>P006BF</t>
  </si>
  <si>
    <t>MUARAKARANG - RAMBUT</t>
  </si>
  <si>
    <t>P006F</t>
  </si>
  <si>
    <t>GROGOL - RAMBUTAN</t>
  </si>
  <si>
    <t>P007AB</t>
  </si>
  <si>
    <t>P007AF</t>
  </si>
  <si>
    <t>P007B</t>
  </si>
  <si>
    <t>P007F</t>
  </si>
  <si>
    <t>P008B</t>
  </si>
  <si>
    <t>TANJUNGPRIOK - RAMBU</t>
  </si>
  <si>
    <t>P008F</t>
  </si>
  <si>
    <t>RAMBUTAN - TANJUNGPR</t>
  </si>
  <si>
    <t>P009AB</t>
  </si>
  <si>
    <t>P009AF</t>
  </si>
  <si>
    <t>P009B</t>
  </si>
  <si>
    <t>PINANGRANTI - PASARB</t>
  </si>
  <si>
    <t>P009BB</t>
  </si>
  <si>
    <t>RAMBUTAN - BEKASI</t>
  </si>
  <si>
    <t>P009BF</t>
  </si>
  <si>
    <t>BEKASI - RAMBUTAN</t>
  </si>
  <si>
    <t>P009CB</t>
  </si>
  <si>
    <t>P009CF</t>
  </si>
  <si>
    <t>P009F</t>
  </si>
  <si>
    <t>PASARBARU - PINANGRA</t>
  </si>
  <si>
    <t>P010B</t>
  </si>
  <si>
    <t>SENEN - BLOKM</t>
  </si>
  <si>
    <t>P010F</t>
  </si>
  <si>
    <t>BLOKM - SENEN</t>
  </si>
  <si>
    <t>P014B</t>
  </si>
  <si>
    <t>TANAHABANG - PRIOK</t>
  </si>
  <si>
    <t>P014F</t>
  </si>
  <si>
    <t>PRIOK - TANAHABANG</t>
  </si>
  <si>
    <t>P015B</t>
  </si>
  <si>
    <t>CAWANG - BLOKM</t>
  </si>
  <si>
    <t>P015F</t>
  </si>
  <si>
    <t>BLOKM - CAWANG</t>
  </si>
  <si>
    <t>P016B</t>
  </si>
  <si>
    <t>P016F</t>
  </si>
  <si>
    <t>P017AB</t>
  </si>
  <si>
    <t>P017AF</t>
  </si>
  <si>
    <t>P017B</t>
  </si>
  <si>
    <t>P017F</t>
  </si>
  <si>
    <t>P018B</t>
  </si>
  <si>
    <t>P018BB</t>
  </si>
  <si>
    <t>P018BF</t>
  </si>
  <si>
    <t>P018F</t>
  </si>
  <si>
    <t>P021B</t>
  </si>
  <si>
    <t>CIPUTAT - BLOKM</t>
  </si>
  <si>
    <t>P021F</t>
  </si>
  <si>
    <t>BLOKM - CIPUTAT</t>
  </si>
  <si>
    <t>P023B</t>
  </si>
  <si>
    <t>RAMBUTAN - PSBARU</t>
  </si>
  <si>
    <t>P023F</t>
  </si>
  <si>
    <t>PSBARU - RAMBUTAN</t>
  </si>
  <si>
    <t>P024B</t>
  </si>
  <si>
    <t>GROGOL - CIMONE</t>
  </si>
  <si>
    <t>P024F</t>
  </si>
  <si>
    <t>CIMONE - GROGOL</t>
  </si>
  <si>
    <t>P032B</t>
  </si>
  <si>
    <t>RAWAMANGUN - BLOKM</t>
  </si>
  <si>
    <t>P032F</t>
  </si>
  <si>
    <t>BLOKM - RAWAMANGUN</t>
  </si>
  <si>
    <t>P037B</t>
  </si>
  <si>
    <t>MUARAKARANG - BLOKM</t>
  </si>
  <si>
    <t>P037F</t>
  </si>
  <si>
    <t>BLOKM - MUARAKARANG</t>
  </si>
  <si>
    <t>P039B</t>
  </si>
  <si>
    <t>P039F</t>
  </si>
  <si>
    <t>P040B</t>
  </si>
  <si>
    <t>P040F</t>
  </si>
  <si>
    <t>P041AB</t>
  </si>
  <si>
    <t>PSBARU - CILILITAN</t>
  </si>
  <si>
    <t>P041AF</t>
  </si>
  <si>
    <t>CILILITAN - PSBARU</t>
  </si>
  <si>
    <t>P041B</t>
  </si>
  <si>
    <t>P041F</t>
  </si>
  <si>
    <t>P044B</t>
  </si>
  <si>
    <t>TANAHTINGI - KEMAIOR</t>
  </si>
  <si>
    <t>P044F</t>
  </si>
  <si>
    <t>KEMAIORAN - TANAHTIN</t>
  </si>
  <si>
    <t>P045B</t>
  </si>
  <si>
    <t>P045F</t>
  </si>
  <si>
    <t>P046B</t>
  </si>
  <si>
    <t>P046F</t>
  </si>
  <si>
    <t>P049B</t>
  </si>
  <si>
    <t>P049F</t>
  </si>
  <si>
    <t>P051B</t>
  </si>
  <si>
    <t>P051F</t>
  </si>
  <si>
    <t>P052B</t>
  </si>
  <si>
    <t>P052F</t>
  </si>
  <si>
    <t>P054B</t>
  </si>
  <si>
    <t>P054F</t>
  </si>
  <si>
    <t>P057B</t>
  </si>
  <si>
    <t>P057F</t>
  </si>
  <si>
    <t>P058B</t>
  </si>
  <si>
    <t>P058F</t>
  </si>
  <si>
    <t>P060B</t>
  </si>
  <si>
    <t>TJPRIOK - SENEN</t>
  </si>
  <si>
    <t>P060F</t>
  </si>
  <si>
    <t>SENEN - TJPRIOK</t>
  </si>
  <si>
    <t>P064B</t>
  </si>
  <si>
    <t>P064F</t>
  </si>
  <si>
    <t>P067B</t>
  </si>
  <si>
    <t>P067F</t>
  </si>
  <si>
    <t>P068B</t>
  </si>
  <si>
    <t>P068F</t>
  </si>
  <si>
    <t>P073B</t>
  </si>
  <si>
    <t>PRIOK - KALIDERES</t>
  </si>
  <si>
    <t>P073F</t>
  </si>
  <si>
    <t>KALIDERES - PRIOK</t>
  </si>
  <si>
    <t>P089B</t>
  </si>
  <si>
    <t>TANJUNGPRIOK - BLOKM</t>
  </si>
  <si>
    <t>P089F</t>
  </si>
  <si>
    <t>BLOKM - TANJUNGPRIOK</t>
  </si>
  <si>
    <t>P092B</t>
  </si>
  <si>
    <t>KPMELAIU - BLOKM</t>
  </si>
  <si>
    <t>P092F</t>
  </si>
  <si>
    <t>BLOKM - KPMELAIU</t>
  </si>
  <si>
    <t>P098B</t>
  </si>
  <si>
    <t>RAMBUTAN - PULOGADUN</t>
  </si>
  <si>
    <t>P098F</t>
  </si>
  <si>
    <t>PULOGADUNG - RAMBUTA</t>
  </si>
  <si>
    <t>P115B</t>
  </si>
  <si>
    <t>P115F</t>
  </si>
  <si>
    <t>P116B</t>
  </si>
  <si>
    <t>P116F</t>
  </si>
  <si>
    <t>P125B</t>
  </si>
  <si>
    <t>P125F</t>
  </si>
  <si>
    <t>P128B</t>
  </si>
  <si>
    <t>P128F</t>
  </si>
  <si>
    <t>PX045B</t>
  </si>
  <si>
    <t>CIMONE - BLOKM</t>
  </si>
  <si>
    <t>PX045F</t>
  </si>
  <si>
    <t>BLOKM - CIMONE</t>
  </si>
  <si>
    <t>PX116B</t>
  </si>
  <si>
    <t>SENEN - CIKOKOL</t>
  </si>
  <si>
    <t>PX116F</t>
  </si>
  <si>
    <t>CIKOKOL - SENEN</t>
  </si>
  <si>
    <t>R043B</t>
  </si>
  <si>
    <t>TANJUNGPRIOK - CILIL</t>
  </si>
  <si>
    <t>R043F</t>
  </si>
  <si>
    <t>CILILITAN - TANJUNGP</t>
  </si>
  <si>
    <t>R050B</t>
  </si>
  <si>
    <t>TANJUNGPRIOK - PULOG</t>
  </si>
  <si>
    <t>R050F</t>
  </si>
  <si>
    <t>R051B</t>
  </si>
  <si>
    <t>R051F</t>
  </si>
  <si>
    <t>R052B</t>
  </si>
  <si>
    <t>PULOGADUNG - PASARBA</t>
  </si>
  <si>
    <t>R052F</t>
  </si>
  <si>
    <t>PASARBARU - PULOGADU</t>
  </si>
  <si>
    <t>R056B</t>
  </si>
  <si>
    <t>R056F</t>
  </si>
  <si>
    <t>R058B</t>
  </si>
  <si>
    <t>PULOGADUNG - KEMAIOR</t>
  </si>
  <si>
    <t>R058F</t>
  </si>
  <si>
    <t>KEMAIORAN - PULOGADU</t>
  </si>
  <si>
    <t>R064B</t>
  </si>
  <si>
    <t>R064F</t>
  </si>
  <si>
    <t>R103B</t>
  </si>
  <si>
    <t>R103F</t>
  </si>
  <si>
    <t>R106B</t>
  </si>
  <si>
    <t>R106F</t>
  </si>
  <si>
    <t>R107B</t>
  </si>
  <si>
    <t>R107F</t>
  </si>
  <si>
    <t>R109B</t>
  </si>
  <si>
    <t>R109F</t>
  </si>
  <si>
    <t>R210B</t>
  </si>
  <si>
    <t>R210F</t>
  </si>
  <si>
    <t>R213B</t>
  </si>
  <si>
    <t>KAMPUNGMELAIU - GROG</t>
  </si>
  <si>
    <t>R213F</t>
  </si>
  <si>
    <t>GROGOL - KAMPUNGMELA</t>
  </si>
  <si>
    <t>R300B</t>
  </si>
  <si>
    <t>R300F</t>
  </si>
  <si>
    <t>R507B</t>
  </si>
  <si>
    <t>TANAHABANG - PULOGAD</t>
  </si>
  <si>
    <t>R507F</t>
  </si>
  <si>
    <t>PULOGADUNG - TANAHAB</t>
  </si>
  <si>
    <t>R905B</t>
  </si>
  <si>
    <t>R905F</t>
  </si>
  <si>
    <t>R906B</t>
  </si>
  <si>
    <t>R906F</t>
  </si>
  <si>
    <t>R916B</t>
  </si>
  <si>
    <t>R916F</t>
  </si>
  <si>
    <t>R921B</t>
  </si>
  <si>
    <t>R921F</t>
  </si>
  <si>
    <t>R924B</t>
  </si>
  <si>
    <t>GROGOL - BLOK M</t>
  </si>
  <si>
    <t>R924F</t>
  </si>
  <si>
    <t>BLOKM - GROGOL</t>
  </si>
  <si>
    <t>R926B</t>
  </si>
  <si>
    <t>R926F</t>
  </si>
  <si>
    <t>R928B</t>
  </si>
  <si>
    <t>GROGOL - BLOKM</t>
  </si>
  <si>
    <t>R928F</t>
  </si>
  <si>
    <t>R936B</t>
  </si>
  <si>
    <t>R936F</t>
  </si>
  <si>
    <t>R937B</t>
  </si>
  <si>
    <t>R937F</t>
  </si>
  <si>
    <t>R939B</t>
  </si>
  <si>
    <t>R939F</t>
  </si>
  <si>
    <t>R940B</t>
  </si>
  <si>
    <t>TANJUNG PRIOK - GROG</t>
  </si>
  <si>
    <t>R940F</t>
  </si>
  <si>
    <t>GROGOL - TANJUNG PRI</t>
  </si>
  <si>
    <t>R948B</t>
  </si>
  <si>
    <t>TANJUNGPRIOK - KAMPU</t>
  </si>
  <si>
    <t>R948F</t>
  </si>
  <si>
    <t>KAMPUNGMELAIU - TANJ</t>
  </si>
  <si>
    <t>R972B</t>
  </si>
  <si>
    <t>R972F</t>
  </si>
  <si>
    <t>R973B</t>
  </si>
  <si>
    <t>TANAHABANG - RAWAMAN</t>
  </si>
  <si>
    <t>R973F</t>
  </si>
  <si>
    <t>RAWAMANGUN - TANAHAB</t>
  </si>
  <si>
    <t>R976B</t>
  </si>
  <si>
    <t>MANGARAI - GROGOL</t>
  </si>
  <si>
    <t>R976F</t>
  </si>
  <si>
    <t>GROGOL - MANGARAI</t>
  </si>
  <si>
    <t>RBB01B</t>
  </si>
  <si>
    <t>RAWABUAYA - CIKOKOL</t>
  </si>
  <si>
    <t>RBB01F</t>
  </si>
  <si>
    <t>CIKOKOL - RAWABUAYA</t>
  </si>
  <si>
    <t>RKWBB</t>
  </si>
  <si>
    <t>PULOGADUNG - CILEUNG</t>
  </si>
  <si>
    <t>RKWBF</t>
  </si>
  <si>
    <t>CILEUNGSI - PULOGADU</t>
  </si>
  <si>
    <t>RM036B</t>
  </si>
  <si>
    <t>RAWAMANGUN - RADEN I</t>
  </si>
  <si>
    <t>RM036F</t>
  </si>
  <si>
    <t>RADEN INTEN - RAWAMA</t>
  </si>
  <si>
    <t>SM010B</t>
  </si>
  <si>
    <t>RAWABUAIA - PONDOK B</t>
  </si>
  <si>
    <t>SM010F</t>
  </si>
  <si>
    <t>PONDOK BAHAR - RAWAB</t>
  </si>
  <si>
    <t>X605AB</t>
  </si>
  <si>
    <t>X605AF</t>
  </si>
  <si>
    <r>
      <rPr>
        <b/>
        <sz val="11"/>
        <color theme="1"/>
        <rFont val="Calibri"/>
        <family val="2"/>
        <scheme val="minor"/>
      </rPr>
      <t>Table of integration</t>
    </r>
    <r>
      <rPr>
        <sz val="11"/>
        <color theme="1"/>
        <rFont val="Calibri"/>
        <family val="2"/>
        <scheme val="minor"/>
      </rPr>
      <t xml:space="preserve"> position to be given in this example is the cell D5 (row=5, column=4), marked in</t>
    </r>
    <r>
      <rPr>
        <sz val="11"/>
        <color rgb="FF7030A0"/>
        <rFont val="Calibri"/>
        <family val="2"/>
        <scheme val="minor"/>
      </rPr>
      <t xml:space="preserve"> purple</t>
    </r>
    <r>
      <rPr>
        <sz val="11"/>
        <color theme="1"/>
        <rFont val="Calibri"/>
        <family val="2"/>
        <scheme val="minor"/>
      </rPr>
      <t>: macro will check for the content: "FARE_PRICES" in the cell:
   - Only the colored cells will be read.
  - Minus one (-1) means no integration
  - if a transit line bellongs to a non declared group route, it will not be affected
  - column D it will be read downwards till a blank cell is find</t>
    </r>
  </si>
  <si>
    <t>description</t>
  </si>
  <si>
    <t>ut2</t>
  </si>
  <si>
    <t>length</t>
  </si>
  <si>
    <t>hwy</t>
  </si>
  <si>
    <t>TRANSJAKARTA</t>
  </si>
  <si>
    <t>N</t>
  </si>
  <si>
    <t xml:space="preserve"> became fully integrated with TransJakarta--&gt;</t>
  </si>
  <si>
    <t>INTERCITY: DON'T INTEGRATE</t>
  </si>
  <si>
    <t>NO SMART CARD</t>
  </si>
  <si>
    <r>
      <rPr>
        <b/>
        <sz val="11"/>
        <color theme="1"/>
        <rFont val="Calibri"/>
        <family val="2"/>
        <scheme val="minor"/>
      </rPr>
      <t xml:space="preserve">Fare Group List: </t>
    </r>
    <r>
      <rPr>
        <sz val="11"/>
        <color theme="1"/>
        <rFont val="Calibri"/>
        <family val="2"/>
        <scheme val="minor"/>
      </rPr>
      <t xml:space="preserve"> The table bellow is an example to 'manually' enter which group a route bellongs to. The position to be informed in the macro is the cell marked in </t>
    </r>
    <r>
      <rPr>
        <sz val="11"/>
        <color theme="5" tint="-0.249977111117893"/>
        <rFont val="Calibri"/>
        <family val="2"/>
        <scheme val="minor"/>
      </rPr>
      <t xml:space="preserve">brown </t>
    </r>
    <r>
      <rPr>
        <sz val="11"/>
        <color theme="1"/>
        <rFont val="Calibri"/>
        <family val="2"/>
        <scheme val="minor"/>
      </rPr>
      <t>(row=14, column=3)
  - Code will check for the content of headers cells to be "Line" and"Fare_group_code"
  - only two colunms will be read till a blank cell is find, bellow the first
  - routes missing here in the table will be treated as non-fare-integrated
  - routes missing in the transit line input file will generate a warning (in RUNNING MESSAGES cells)</t>
    </r>
  </si>
  <si>
    <t>basenetwork13</t>
  </si>
  <si>
    <t>transitlines13</t>
  </si>
  <si>
    <t>basenetwork113</t>
  </si>
  <si>
    <t>transitlines113</t>
  </si>
  <si>
    <t>Link type that indicates 2 linked nodes need to be fare integrated--&gt;</t>
  </si>
  <si>
    <t>auxiliary mode where to fare integration--&gt;</t>
  </si>
  <si>
    <t>Sample_Data_for_Cones_tool/14/3</t>
  </si>
  <si>
    <t>Sample_Data_for_Cones_tool/5/4</t>
  </si>
  <si>
    <r>
      <t xml:space="preserve">Fare_integration table (   </t>
    </r>
    <r>
      <rPr>
        <b/>
        <sz val="11"/>
        <color theme="1"/>
        <rFont val="Calibri"/>
        <family val="2"/>
        <scheme val="minor"/>
      </rPr>
      <t>[openned_file\]worksheet/row/column</t>
    </r>
    <r>
      <rPr>
        <sz val="11"/>
        <color theme="1"/>
        <rFont val="Calibri"/>
        <family val="2"/>
        <scheme val="minor"/>
      </rPr>
      <t xml:space="preserve">  )--&gt;</t>
    </r>
  </si>
  <si>
    <r>
      <t xml:space="preserve">List of Routes to Fare Group (  </t>
    </r>
    <r>
      <rPr>
        <b/>
        <sz val="11"/>
        <color theme="1"/>
        <rFont val="Calibri"/>
        <family val="2"/>
        <scheme val="minor"/>
      </rPr>
      <t>[openned_file\]worksheet/row/column</t>
    </r>
    <r>
      <rPr>
        <sz val="11"/>
        <color theme="1"/>
        <rFont val="Calibri"/>
        <family val="2"/>
        <scheme val="minor"/>
      </rPr>
      <t xml:space="preserve">  )--&gt;
give location or write  ut1, ut2, ut3, mode, to provide group code</t>
    </r>
  </si>
  <si>
    <t>Transfer extra cost (penalty)--&gt;</t>
  </si>
  <si>
    <t>UseLinkSearch</t>
  </si>
  <si>
    <t>&lt;-- X means coodinates in Latitude and Longitude</t>
  </si>
  <si>
    <t>&lt;-- X indica coordenadas dadas em Latitude e Longitude</t>
  </si>
  <si>
    <t>meters_per_network_unit (LatLong = X)</t>
  </si>
  <si>
    <t>standard cone height in meters--&gt;</t>
  </si>
  <si>
    <t>meters_per_link_extension_unit</t>
  </si>
  <si>
    <t>This macro creates integration cones, as follows:
    - New nodes will try to have the same number end (above 100,000)
    - will create cones for all stops where a bus bellonging to a group with fare integration stops, with auxiliary mode given bellow and  price is placed in ul3
   - uses the 800-900 range for types of the new links
    - will add a walking cost when making cones between two stops</t>
  </si>
  <si>
    <t>Experimental only one transfer model?(X means yes, will duplicate routes)--&gt;</t>
  </si>
  <si>
    <t>walking value (distance/$, 0  to ignore)--&gt;
i.e. the distance (in link_extension_units) that user would walk to save 1 $</t>
  </si>
  <si>
    <t>OBS: VBA does not respect the Excel settings for digits and thousand separator, so make sure you set Windows to use . (dot) for decimal digits and , (comma) for thousand separator, so outputs are recognized by EMME.
OBS.: O VBA não segue as configurações do Excel em relação ao formato de separação de decimais. Altere as configurações do Windows (em Painel de Controle... Região e Idioma... Configurações Adicionais) para usar o ponto (.) como separador de decimais e a vírgula como separador de milhares para que os resultados sejam reconhecidos para entrada no EMME</t>
  </si>
  <si>
    <t>transitlinesexp</t>
  </si>
  <si>
    <t>basenetworkexp</t>
  </si>
  <si>
    <t>D:\docs\Development\emmekit.vba\Database</t>
  </si>
  <si>
    <t>output only changes (deletions modifications and aditions)--&gt;</t>
  </si>
  <si>
    <t>shift to mikrolet price</t>
  </si>
  <si>
    <t>transitlines114</t>
  </si>
  <si>
    <t>Start: set/01/2015 01:37:48
Reading Network    01:37:48 ...
... DONE: 5190 nodes and 11889 links  
Reading Routes    01:37:49 ...
... DONE: 776 transit lines  
 Found 9490 links with walking mode (p)
 Found 0 integration links (type=777)
Reading Integration Table    01:37:50 ...
... DONE: 4 faregroups  (e, d, b, w)
Reading routes fare groups    01:37:50 ...
... DONE: 
 NFI --&gt; 0 lines
 e --&gt; 308 lines
 d --&gt; 184 lines
 b --&gt; 282 lines
 w --&gt; 2 lines
Selected 3219 points to expand for integration 
Creating new nodes    01:37:50 ...
... DONE: 11294 new nodes ( total = 16484 )
Creating new links    01:37:51 ...
... DONE: 22160 new links ( total = 34049 )
Rerouting transit lines   01:37:51 ...
... DONE: 0 new routes, total transit segments = 178282 )
Writting routes  01:37:52 ...
Writting changed network  01:37:53 ...</t>
  </si>
  <si>
    <t>basenet13</t>
  </si>
  <si>
    <t>basenet114</t>
  </si>
  <si>
    <t>Start: set/01/2015 13:23:29
Reading Network    13:23:30 ...
... DONE: 5190 nodes and 11889 links  
Reading Routes    13:23:31 ...
... DONE: 776 transit lines  
 Found 9490 links with walking mode (p)
 Found 144 integration links (type=16)
Reading Integration Table    13:23:32 ...
... DONE: 4 faregroups  (e, d, b, w)
Reading routes fare groups    13:23:32 ...
... DONE: 
 NFI --&gt; 4 lines
 e --&gt; 312 lines
 d --&gt; 180 lines
 b --&gt; 272 lines
 w --&gt; 8 lines
Selected 3219 points to expand for integration 
Creating new nodes    13:23:32 ...
... DONE: 11870 new nodes ( total = 17060 )
Creating new links    13:23:32 ...
... DONE: 24532 new links ( total = 36421 )
Rerouting transit lines   13:23:33 ...
... DONE: 0 new routes, total transit segments = 177012 )
Writting routes  13:23:33 ...
Writting changed network  13:23:34 ...
...DONE (don't forget to add  y mode to your scenario!13:23:35 ...</t>
  </si>
  <si>
    <t>Start: set/01/2015 13:35:33
Reading Network    13:35:33 ...
... DONE: 5190 nodes and 11889 links  
Reading Routes    13:35:34 ...
... DONE: 776 transit lines  
 Found 9490 links with walking mode (p)
 Found 70 integration links (type=16)
Reading Integration Table    13:35:35 ...
... DONE: 4 faregroups  (e, d, b, w)
Reading routes fare groups    13:35:35 ...
... DONE: 
 NFI --&gt; 4 lines
 e --&gt; 312 lines
 d --&gt; 180 lines
 b --&gt; 272 lines
 w --&gt; 8 lines
Selected 3219 points to expand for integration 
Creating new nodes    13:35:35 ...
... DONE: 11870 new nodes ( total = 17060 )
Creating new links    13:35:35 ...
... DONE: 30403 new links ( total = 42292 )
Duplicating and Rerouting integrated transit lines   13:35:37 ...
... DONE: 772 new routes, total transit segments = 263000 )
Writting routes  13:35:44 ...
Writting changed network  13:35:46 ...
...DONE (don't forget to add  y mode to your scenario!13:35:47 ...</t>
  </si>
  <si>
    <t>&lt;-- When the tool uses link serarch in a given area (like unify  and compare networks) This is a legacy feature that can be removed, because of concern of speed and  memory size in the old days (we are now talking about a second for a 30.000 links network in an 3 year-old laptop,v so you can always enable it)
(X means YES, all the rest means NO)</t>
  </si>
  <si>
    <t>Network input file (output of EMME module 2.14) --&gt;</t>
  </si>
  <si>
    <t>Transit input file (output of EMME module 2.24) --&gt;</t>
  </si>
  <si>
    <t>Network output file (to Input thru EMME module 2.11) --&gt;</t>
  </si>
  <si>
    <t>Transit output file (to input on EMME module 2.21) --&gt;</t>
  </si>
  <si>
    <t>MESSAGES:</t>
  </si>
  <si>
    <r>
      <t xml:space="preserve">Corta todos os pontos da Linha </t>
    </r>
    <r>
      <rPr>
        <b/>
        <sz val="10"/>
        <color theme="0" tint="-0.34998626667073579"/>
        <rFont val="Arial"/>
        <family val="2"/>
      </rPr>
      <t>123Ai</t>
    </r>
    <r>
      <rPr>
        <sz val="10"/>
        <color theme="0" tint="-0.34998626667073579"/>
        <rFont val="Arial"/>
        <family val="2"/>
      </rPr>
      <t xml:space="preserve"> que vêm DEPOIS do ponto </t>
    </r>
    <r>
      <rPr>
        <b/>
        <sz val="10"/>
        <color theme="0" tint="-0.34998626667073579"/>
        <rFont val="Arial"/>
        <family val="2"/>
      </rPr>
      <t>789</t>
    </r>
  </si>
  <si>
    <r>
      <t xml:space="preserve">Corta todos os pontos da Linha </t>
    </r>
    <r>
      <rPr>
        <b/>
        <sz val="10"/>
        <color theme="0" tint="-0.34998626667073579"/>
        <rFont val="Arial"/>
        <family val="2"/>
      </rPr>
      <t>123Av</t>
    </r>
    <r>
      <rPr>
        <sz val="10"/>
        <color theme="0" tint="-0.34998626667073579"/>
        <rFont val="Arial"/>
        <family val="2"/>
      </rPr>
      <t xml:space="preserve"> que vêm ANTES do ponto </t>
    </r>
    <r>
      <rPr>
        <b/>
        <sz val="10"/>
        <color theme="0" tint="-0.34998626667073579"/>
        <rFont val="Arial"/>
        <family val="2"/>
      </rPr>
      <t>789</t>
    </r>
  </si>
  <si>
    <r>
      <t xml:space="preserve">Adiciona pontos depois do FIM da linha a </t>
    </r>
    <r>
      <rPr>
        <b/>
        <sz val="10"/>
        <color theme="0" tint="-0.34998626667073579"/>
        <rFont val="Arial"/>
        <family val="2"/>
      </rPr>
      <t>234Bi</t>
    </r>
    <r>
      <rPr>
        <sz val="10"/>
        <color theme="0" tint="-0.34998626667073579"/>
        <rFont val="Arial"/>
        <family val="2"/>
      </rPr>
      <t xml:space="preserve"> , para passar pelo caminho mínimo até os nós </t>
    </r>
    <r>
      <rPr>
        <b/>
        <sz val="10"/>
        <color theme="0" tint="-0.34998626667073579"/>
        <rFont val="Arial"/>
        <family val="2"/>
      </rPr>
      <t>767</t>
    </r>
    <r>
      <rPr>
        <sz val="10"/>
        <color theme="0" tint="-0.34998626667073579"/>
        <rFont val="Arial"/>
        <family val="2"/>
      </rPr>
      <t xml:space="preserve"> </t>
    </r>
    <r>
      <rPr>
        <b/>
        <sz val="10"/>
        <color theme="0" tint="-0.34998626667073579"/>
        <rFont val="Arial"/>
        <family val="2"/>
      </rPr>
      <t>898</t>
    </r>
    <r>
      <rPr>
        <sz val="10"/>
        <color theme="0" tint="-0.34998626667073579"/>
        <rFont val="Arial"/>
        <family val="2"/>
      </rPr>
      <t xml:space="preserve"> e acabar em </t>
    </r>
    <r>
      <rPr>
        <b/>
        <sz val="10"/>
        <color theme="0" tint="-0.34998626667073579"/>
        <rFont val="Arial"/>
        <family val="2"/>
      </rPr>
      <t>1021</t>
    </r>
  </si>
  <si>
    <r>
      <t xml:space="preserve">Adiciona pontos no COMEÇO da linha </t>
    </r>
    <r>
      <rPr>
        <b/>
        <sz val="10"/>
        <color theme="0" tint="-0.34998626667073579"/>
        <rFont val="Arial"/>
        <family val="2"/>
      </rPr>
      <t>234Bv</t>
    </r>
    <r>
      <rPr>
        <sz val="10"/>
        <color theme="0" tint="-0.34998626667073579"/>
        <rFont val="Arial"/>
        <family val="2"/>
      </rPr>
      <t xml:space="preserve">, partindo de 1021 pelo caminho mínimo até os nós </t>
    </r>
    <r>
      <rPr>
        <b/>
        <sz val="10"/>
        <color theme="0" tint="-0.34998626667073579"/>
        <rFont val="Arial"/>
        <family val="2"/>
      </rPr>
      <t>888</t>
    </r>
    <r>
      <rPr>
        <sz val="10"/>
        <color theme="0" tint="-0.34998626667073579"/>
        <rFont val="Arial"/>
        <family val="2"/>
      </rPr>
      <t xml:space="preserve"> e </t>
    </r>
    <r>
      <rPr>
        <b/>
        <sz val="10"/>
        <color theme="0" tint="-0.34998626667073579"/>
        <rFont val="Arial"/>
        <family val="2"/>
      </rPr>
      <t>777</t>
    </r>
    <r>
      <rPr>
        <sz val="10"/>
        <color theme="0" tint="-0.34998626667073579"/>
        <rFont val="Arial"/>
        <family val="2"/>
      </rPr>
      <t xml:space="preserve"> até chegar no atual primeiro ponto da linha </t>
    </r>
  </si>
  <si>
    <r>
      <t xml:space="preserve">Elimina a linha </t>
    </r>
    <r>
      <rPr>
        <b/>
        <sz val="10"/>
        <color theme="0" tint="-0.34998626667073579"/>
        <rFont val="Arial"/>
        <family val="2"/>
      </rPr>
      <t>345Ai</t>
    </r>
  </si>
  <si>
    <t>FOLDER --&gt;</t>
  </si>
  <si>
    <t>PASTA --&gt;</t>
  </si>
  <si>
    <t>INSTRUCTIONS:</t>
  </si>
  <si>
    <t>The button "This folder" only write the path to this file in cell A1 to help locate other folders</t>
  </si>
  <si>
    <t>If cell D2 (E2, F2,... ) is empty, the full path is required for the files bellow</t>
  </si>
  <si>
    <t>The button "RUN" will exceute the the lines mover for every column marked with "X" in the row 11</t>
  </si>
  <si>
    <t xml:space="preserve">Text file with instructions to reroute transit lines --&gt; </t>
  </si>
  <si>
    <t>otherwise the files will look for the files in the given folder in D2 (E2, F2, ...)</t>
  </si>
  <si>
    <t>Se a célula D2 (E2,F2,...) estiver em branco, é necessário escrever a localização completa dos arquivos</t>
  </si>
  <si>
    <t>Caso contrário o programa busca os arquivos na pasta em D2 (E2,F2,...)</t>
  </si>
  <si>
    <t>O botão "PROCESSA LINHAS" roda a rotina tantas vezes quantas forem as células da linha 11 que estiverem preenchidas com "X"</t>
  </si>
  <si>
    <t>Input files should come from module 2.14 and 2.24 of EMME, and output files should be imput to EMME via 2.11 and 2.14</t>
  </si>
  <si>
    <t>Text file with instructions should have the following sintax</t>
  </si>
  <si>
    <t>ONE INSTRUCTION PER LINE</t>
  </si>
  <si>
    <t>up to column CZ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</si>
</sst>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0"/>
    <numFmt numFmtId="165" formatCode="0.0%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color theme="0" tint="-0.34998626667073579"/>
      <name val="Arial"/>
      <family val="2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 tint="-0.3499862666707357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9" fontId="2" fillId="0" borderId="0" applyFont="0" applyFill="0" applyBorder="0" applyAlignment="0" applyProtection="0"/>
    <xf numFmtId="0" fontId="2" fillId="0" borderId="0"/>
  </cellStyleXfs>
  <cellXfs count="8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/>
    </xf>
    <xf numFmtId="0" fontId="0" fillId="3" borderId="1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1" fillId="0" borderId="0" xfId="1"/>
    <xf numFmtId="0" fontId="1" fillId="0" borderId="0" xfId="1" applyFont="1"/>
    <xf numFmtId="0" fontId="1" fillId="0" borderId="0" xfId="1" applyAlignment="1">
      <alignment wrapText="1"/>
    </xf>
    <xf numFmtId="0" fontId="1" fillId="0" borderId="0" xfId="1" applyFont="1" applyAlignment="1">
      <alignment horizontal="center" vertical="center" wrapText="1"/>
    </xf>
    <xf numFmtId="22" fontId="1" fillId="0" borderId="0" xfId="1" applyNumberFormat="1"/>
    <xf numFmtId="14" fontId="1" fillId="0" borderId="0" xfId="1" applyNumberFormat="1"/>
    <xf numFmtId="1" fontId="1" fillId="0" borderId="0" xfId="1" applyNumberFormat="1"/>
    <xf numFmtId="11" fontId="1" fillId="0" borderId="0" xfId="1" applyNumberFormat="1"/>
    <xf numFmtId="0" fontId="1" fillId="0" borderId="0" xfId="1" applyNumberFormat="1"/>
    <xf numFmtId="0" fontId="5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6" fillId="0" borderId="0" xfId="1" applyFont="1" applyAlignment="1">
      <alignment horizontal="right" wrapText="1"/>
    </xf>
    <xf numFmtId="0" fontId="6" fillId="0" borderId="0" xfId="1" applyFont="1" applyAlignment="1">
      <alignment horizontal="right"/>
    </xf>
    <xf numFmtId="0" fontId="2" fillId="0" borderId="0" xfId="3"/>
    <xf numFmtId="0" fontId="2" fillId="0" borderId="0" xfId="3" applyBorder="1"/>
    <xf numFmtId="0" fontId="3" fillId="0" borderId="0" xfId="3" applyFont="1" applyBorder="1"/>
    <xf numFmtId="0" fontId="2" fillId="0" borderId="0" xfId="3" applyAlignment="1">
      <alignment horizontal="center" vertical="center"/>
    </xf>
    <xf numFmtId="1" fontId="2" fillId="4" borderId="2" xfId="3" applyNumberFormat="1" applyFill="1" applyBorder="1" applyAlignment="1">
      <alignment horizontal="center" vertical="center"/>
    </xf>
    <xf numFmtId="0" fontId="0" fillId="0" borderId="1" xfId="3" applyFont="1" applyBorder="1" applyAlignment="1">
      <alignment horizontal="center" vertical="center" wrapText="1"/>
    </xf>
    <xf numFmtId="1" fontId="2" fillId="5" borderId="1" xfId="3" applyNumberFormat="1" applyFill="1" applyBorder="1" applyAlignment="1">
      <alignment horizontal="center" vertical="center" wrapText="1"/>
    </xf>
    <xf numFmtId="0" fontId="3" fillId="0" borderId="1" xfId="3" applyFont="1" applyBorder="1" applyAlignment="1">
      <alignment horizontal="center" vertical="center" textRotation="180"/>
    </xf>
    <xf numFmtId="0" fontId="3" fillId="0" borderId="3" xfId="3" applyFont="1" applyBorder="1" applyAlignment="1">
      <alignment horizontal="center" vertical="center"/>
    </xf>
    <xf numFmtId="0" fontId="2" fillId="0" borderId="4" xfId="3" applyBorder="1" applyAlignment="1">
      <alignment horizontal="center" vertical="center" wrapText="1"/>
    </xf>
    <xf numFmtId="0" fontId="3" fillId="0" borderId="6" xfId="3" applyFont="1" applyBorder="1"/>
    <xf numFmtId="1" fontId="0" fillId="0" borderId="6" xfId="3" applyNumberFormat="1" applyFont="1" applyBorder="1" applyAlignment="1">
      <alignment horizontal="center" vertical="center" wrapText="1"/>
    </xf>
    <xf numFmtId="1" fontId="0" fillId="0" borderId="7" xfId="3" applyNumberFormat="1" applyFont="1" applyBorder="1" applyAlignment="1">
      <alignment horizontal="center" vertical="center" wrapText="1"/>
    </xf>
    <xf numFmtId="1" fontId="0" fillId="0" borderId="8" xfId="3" applyNumberFormat="1" applyFont="1" applyBorder="1" applyAlignment="1">
      <alignment horizontal="center" vertical="center" wrapText="1"/>
    </xf>
    <xf numFmtId="1" fontId="2" fillId="5" borderId="10" xfId="3" applyNumberFormat="1" applyFill="1" applyBorder="1" applyAlignment="1">
      <alignment horizontal="center" vertical="center" wrapText="1"/>
    </xf>
    <xf numFmtId="1" fontId="2" fillId="6" borderId="11" xfId="3" applyNumberFormat="1" applyFill="1" applyBorder="1" applyAlignment="1">
      <alignment horizontal="center" vertical="center"/>
    </xf>
    <xf numFmtId="1" fontId="2" fillId="5" borderId="13" xfId="3" applyNumberFormat="1" applyFill="1" applyBorder="1" applyAlignment="1">
      <alignment horizontal="center" vertical="center" wrapText="1"/>
    </xf>
    <xf numFmtId="1" fontId="2" fillId="6" borderId="14" xfId="3" applyNumberFormat="1" applyFill="1" applyBorder="1" applyAlignment="1">
      <alignment horizontal="center" vertical="center"/>
    </xf>
    <xf numFmtId="1" fontId="2" fillId="7" borderId="15" xfId="3" applyNumberFormat="1" applyFill="1" applyBorder="1" applyAlignment="1">
      <alignment horizontal="center" vertical="center"/>
    </xf>
    <xf numFmtId="1" fontId="0" fillId="10" borderId="9" xfId="3" applyNumberFormat="1" applyFont="1" applyFill="1" applyBorder="1" applyAlignment="1">
      <alignment horizontal="center" vertical="center"/>
    </xf>
    <xf numFmtId="1" fontId="0" fillId="10" borderId="12" xfId="3" applyNumberFormat="1" applyFont="1" applyFill="1" applyBorder="1" applyAlignment="1">
      <alignment horizontal="center" vertical="center"/>
    </xf>
    <xf numFmtId="0" fontId="3" fillId="0" borderId="9" xfId="3" applyFont="1" applyBorder="1" applyAlignment="1">
      <alignment horizontal="center"/>
    </xf>
    <xf numFmtId="0" fontId="0" fillId="8" borderId="5" xfId="3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6" xfId="0" applyFill="1" applyBorder="1"/>
    <xf numFmtId="0" fontId="0" fillId="9" borderId="8" xfId="0" applyFill="1" applyBorder="1"/>
    <xf numFmtId="0" fontId="0" fillId="0" borderId="2" xfId="0" applyBorder="1"/>
    <xf numFmtId="0" fontId="0" fillId="4" borderId="9" xfId="0" applyFill="1" applyBorder="1"/>
    <xf numFmtId="0" fontId="0" fillId="4" borderId="10" xfId="0" applyFill="1" applyBorder="1" applyAlignment="1">
      <alignment horizontal="center"/>
    </xf>
    <xf numFmtId="0" fontId="0" fillId="4" borderId="12" xfId="0" applyFill="1" applyBorder="1"/>
    <xf numFmtId="0" fontId="0" fillId="4" borderId="17" xfId="0" applyFill="1" applyBorder="1" applyAlignment="1">
      <alignment horizontal="center"/>
    </xf>
    <xf numFmtId="1" fontId="2" fillId="0" borderId="1" xfId="3" applyNumberFormat="1" applyFill="1" applyBorder="1" applyAlignment="1">
      <alignment horizontal="center" vertical="center" wrapText="1"/>
    </xf>
    <xf numFmtId="1" fontId="2" fillId="6" borderId="18" xfId="3" applyNumberFormat="1" applyFill="1" applyBorder="1" applyAlignment="1">
      <alignment horizontal="center" vertical="center"/>
    </xf>
    <xf numFmtId="1" fontId="2" fillId="6" borderId="1" xfId="3" applyNumberForma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right" vertical="center"/>
    </xf>
    <xf numFmtId="165" fontId="0" fillId="0" borderId="0" xfId="2" applyNumberFormat="1" applyFont="1"/>
    <xf numFmtId="3" fontId="0" fillId="0" borderId="0" xfId="0" applyNumberFormat="1"/>
    <xf numFmtId="10" fontId="0" fillId="0" borderId="0" xfId="2" applyNumberFormat="1" applyFont="1"/>
    <xf numFmtId="1" fontId="0" fillId="0" borderId="0" xfId="0" applyNumberFormat="1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" xfId="3" applyFont="1" applyBorder="1" applyAlignment="1">
      <alignment horizontal="center" vertical="center" wrapText="1"/>
    </xf>
    <xf numFmtId="0" fontId="0" fillId="0" borderId="0" xfId="3" applyFont="1" applyAlignment="1">
      <alignment horizontal="center" vertical="center" textRotation="255" wrapText="1"/>
    </xf>
    <xf numFmtId="0" fontId="2" fillId="0" borderId="0" xfId="3" applyAlignment="1">
      <alignment horizontal="center" vertical="center" textRotation="255" wrapText="1"/>
    </xf>
    <xf numFmtId="0" fontId="0" fillId="0" borderId="0" xfId="3" applyFont="1" applyAlignment="1">
      <alignment horizontal="left" wrapText="1"/>
    </xf>
    <xf numFmtId="0" fontId="0" fillId="0" borderId="0" xfId="0" applyAlignment="1">
      <alignment horizontal="left" wrapText="1"/>
    </xf>
    <xf numFmtId="0" fontId="1" fillId="0" borderId="0" xfId="1" applyAlignment="1">
      <alignment horizontal="right"/>
    </xf>
    <xf numFmtId="0" fontId="1" fillId="0" borderId="0" xfId="1" applyFont="1" applyAlignment="1">
      <alignment horizontal="right" vertical="center" wrapText="1"/>
    </xf>
    <xf numFmtId="0" fontId="1" fillId="0" borderId="0" xfId="1" applyAlignment="1">
      <alignment horizontal="right" vertical="center"/>
    </xf>
    <xf numFmtId="0" fontId="1" fillId="0" borderId="0" xfId="1" applyFont="1" applyAlignment="1">
      <alignment horizontal="right" vertical="center"/>
    </xf>
    <xf numFmtId="0" fontId="6" fillId="0" borderId="0" xfId="1" applyFont="1"/>
    <xf numFmtId="0" fontId="6" fillId="0" borderId="0" xfId="1" applyFont="1" applyAlignment="1">
      <alignment horizontal="right" vertical="center"/>
    </xf>
    <xf numFmtId="0" fontId="6" fillId="0" borderId="0" xfId="1" applyFont="1" applyAlignment="1">
      <alignment horizontal="right" vertical="center" wrapText="1"/>
    </xf>
    <xf numFmtId="0" fontId="6" fillId="0" borderId="0" xfId="1" applyFont="1" applyAlignment="1">
      <alignment wrapText="1"/>
    </xf>
    <xf numFmtId="0" fontId="1" fillId="0" borderId="0" xfId="1" applyFont="1" applyAlignment="1">
      <alignment wrapText="1"/>
    </xf>
  </cellXfs>
  <cellStyles count="4">
    <cellStyle name="Normal" xfId="0" builtinId="0"/>
    <cellStyle name="Normal 10" xfId="1"/>
    <cellStyle name="Normal 3 2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0</xdr:row>
          <xdr:rowOff>66675</xdr:rowOff>
        </xdr:from>
        <xdr:to>
          <xdr:col>0</xdr:col>
          <xdr:colOff>2562225</xdr:colOff>
          <xdr:row>0</xdr:row>
          <xdr:rowOff>581025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This file location...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(will be written to cell A1)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180975</xdr:rowOff>
        </xdr:from>
        <xdr:to>
          <xdr:col>2</xdr:col>
          <xdr:colOff>2143125</xdr:colOff>
          <xdr:row>0</xdr:row>
          <xdr:rowOff>742950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Browse for file...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(to paste path to active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2466975</xdr:colOff>
          <xdr:row>0</xdr:row>
          <xdr:rowOff>180975</xdr:rowOff>
        </xdr:from>
        <xdr:to>
          <xdr:col>2</xdr:col>
          <xdr:colOff>4448175</xdr:colOff>
          <xdr:row>0</xdr:row>
          <xdr:rowOff>742950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Browse for worksheet...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(to paste address to active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20</xdr:row>
          <xdr:rowOff>95250</xdr:rowOff>
        </xdr:from>
        <xdr:to>
          <xdr:col>1</xdr:col>
          <xdr:colOff>3543300</xdr:colOff>
          <xdr:row>20</xdr:row>
          <xdr:rowOff>466725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RUN CONES (for every column* with X on this row --&gt;)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38101</xdr:rowOff>
        </xdr:from>
        <xdr:to>
          <xdr:col>0</xdr:col>
          <xdr:colOff>1495425</xdr:colOff>
          <xdr:row>0</xdr:row>
          <xdr:rowOff>438979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This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901148</xdr:colOff>
          <xdr:row>10</xdr:row>
          <xdr:rowOff>56321</xdr:rowOff>
        </xdr:from>
        <xdr:to>
          <xdr:col>2</xdr:col>
          <xdr:colOff>2600740</xdr:colOff>
          <xdr:row>10</xdr:row>
          <xdr:rowOff>503996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 --&gt;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(collumns with X in this row)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meLinesMo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"/>
      <sheetName val="Sheet1"/>
    </sheetNames>
    <definedNames>
      <definedName name="RunSplit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17"/>
  <sheetViews>
    <sheetView workbookViewId="0">
      <selection activeCell="J13" sqref="J13"/>
    </sheetView>
  </sheetViews>
  <sheetFormatPr defaultColWidth="39.42578125" defaultRowHeight="15" x14ac:dyDescent="0.25"/>
  <cols>
    <col min="1" max="1" width="11" customWidth="1"/>
    <col min="2" max="2" width="30.140625" customWidth="1"/>
    <col min="3" max="3" width="9.85546875" customWidth="1"/>
    <col min="4" max="4" width="9.42578125" customWidth="1"/>
    <col min="5" max="8" width="9.140625" customWidth="1"/>
    <col min="9" max="9" width="9.42578125" bestFit="1" customWidth="1"/>
    <col min="10" max="10" width="61.5703125" customWidth="1"/>
    <col min="11" max="11" width="68.42578125" customWidth="1"/>
  </cols>
  <sheetData>
    <row r="2" spans="2:11" x14ac:dyDescent="0.25">
      <c r="B2" s="8"/>
      <c r="C2" t="s">
        <v>0</v>
      </c>
      <c r="E2" t="s">
        <v>1</v>
      </c>
      <c r="F2" t="s">
        <v>2</v>
      </c>
      <c r="G2" t="s">
        <v>22</v>
      </c>
      <c r="H2" t="s">
        <v>26</v>
      </c>
      <c r="I2" t="s">
        <v>23</v>
      </c>
    </row>
    <row r="3" spans="2:11" ht="30" x14ac:dyDescent="0.25">
      <c r="B3" s="9" t="s">
        <v>1545</v>
      </c>
      <c r="C3" s="1">
        <v>1</v>
      </c>
      <c r="D3" s="2"/>
      <c r="E3" s="2">
        <v>1</v>
      </c>
      <c r="F3" s="2" t="s">
        <v>3</v>
      </c>
      <c r="G3" s="2" t="s">
        <v>3</v>
      </c>
      <c r="H3" s="2" t="s">
        <v>3</v>
      </c>
      <c r="I3" s="2">
        <v>1</v>
      </c>
      <c r="J3" s="9" t="s">
        <v>1543</v>
      </c>
      <c r="K3" s="3" t="s">
        <v>1544</v>
      </c>
    </row>
    <row r="4" spans="2:11" x14ac:dyDescent="0.25">
      <c r="B4" s="8" t="s">
        <v>1547</v>
      </c>
      <c r="C4" s="1">
        <v>1000</v>
      </c>
      <c r="D4" s="8"/>
      <c r="E4" s="8">
        <v>1000</v>
      </c>
      <c r="F4" s="8">
        <v>1000</v>
      </c>
      <c r="G4" s="8">
        <v>1000</v>
      </c>
      <c r="H4" s="69">
        <v>1609.3440000000001</v>
      </c>
      <c r="I4" s="8">
        <v>1000</v>
      </c>
      <c r="J4" s="9"/>
      <c r="K4" s="3"/>
    </row>
    <row r="5" spans="2:11" x14ac:dyDescent="0.25">
      <c r="B5" s="8" t="s">
        <v>4</v>
      </c>
      <c r="C5" s="65">
        <v>680000</v>
      </c>
      <c r="D5" s="8"/>
      <c r="E5" s="6">
        <v>547700</v>
      </c>
      <c r="F5" s="7">
        <v>-44.38</v>
      </c>
      <c r="G5" s="7">
        <v>-51.402999999999999</v>
      </c>
      <c r="H5" s="7">
        <v>-78.400000000000006</v>
      </c>
      <c r="I5" s="10">
        <v>680000</v>
      </c>
      <c r="J5" s="70" t="s">
        <v>5</v>
      </c>
      <c r="K5" s="70" t="s">
        <v>6</v>
      </c>
    </row>
    <row r="6" spans="2:11" x14ac:dyDescent="0.25">
      <c r="B6" s="8" t="s">
        <v>7</v>
      </c>
      <c r="C6" s="65">
        <v>725000</v>
      </c>
      <c r="D6" s="8"/>
      <c r="E6" s="6">
        <v>652300</v>
      </c>
      <c r="F6" s="7">
        <v>-42.35</v>
      </c>
      <c r="G6" s="7">
        <v>-50.771999999999998</v>
      </c>
      <c r="H6" s="7">
        <v>-76.400000000000006</v>
      </c>
      <c r="I6" s="10">
        <v>725000</v>
      </c>
      <c r="J6" s="70"/>
      <c r="K6" s="70"/>
    </row>
    <row r="7" spans="2:11" x14ac:dyDescent="0.25">
      <c r="B7" s="8" t="s">
        <v>8</v>
      </c>
      <c r="C7" s="65">
        <v>9290000</v>
      </c>
      <c r="D7" s="8"/>
      <c r="E7" s="6">
        <v>7744800</v>
      </c>
      <c r="F7" s="7">
        <v>-23.16</v>
      </c>
      <c r="G7" s="7">
        <v>-30.242999999999999</v>
      </c>
      <c r="H7" s="7">
        <v>38.5</v>
      </c>
      <c r="I7" s="10">
        <v>9290000</v>
      </c>
      <c r="J7" s="70"/>
      <c r="K7" s="70"/>
    </row>
    <row r="8" spans="2:11" x14ac:dyDescent="0.25">
      <c r="B8" s="8" t="s">
        <v>9</v>
      </c>
      <c r="C8" s="65">
        <v>9330000</v>
      </c>
      <c r="D8" s="8"/>
      <c r="E8" s="6">
        <v>7875300</v>
      </c>
      <c r="F8" s="7">
        <v>-22.2</v>
      </c>
      <c r="G8" s="7">
        <v>-29.638999999999999</v>
      </c>
      <c r="H8" s="7">
        <v>39.6</v>
      </c>
      <c r="I8" s="10">
        <v>9330000</v>
      </c>
      <c r="J8" s="70"/>
      <c r="K8" s="70"/>
    </row>
    <row r="9" spans="2:11" ht="25.5" customHeight="1" x14ac:dyDescent="0.25">
      <c r="B9" s="8" t="s">
        <v>10</v>
      </c>
      <c r="C9" s="5">
        <v>50</v>
      </c>
      <c r="D9" s="8"/>
      <c r="E9" s="4">
        <v>100</v>
      </c>
      <c r="F9" s="7">
        <v>1E-3</v>
      </c>
      <c r="G9" s="7">
        <v>1E-3</v>
      </c>
      <c r="H9" s="7">
        <v>1E-3</v>
      </c>
      <c r="I9" s="8">
        <v>50</v>
      </c>
      <c r="J9" s="70" t="s">
        <v>11</v>
      </c>
      <c r="K9" s="70" t="s">
        <v>12</v>
      </c>
    </row>
    <row r="10" spans="2:11" ht="25.5" customHeight="1" x14ac:dyDescent="0.25">
      <c r="B10" s="8" t="s">
        <v>13</v>
      </c>
      <c r="C10" s="5">
        <v>50</v>
      </c>
      <c r="D10" s="8"/>
      <c r="E10" s="4">
        <v>100</v>
      </c>
      <c r="F10" s="7">
        <v>1E-3</v>
      </c>
      <c r="G10" s="7">
        <v>1E-3</v>
      </c>
      <c r="H10" s="7">
        <v>1E-3</v>
      </c>
      <c r="I10" s="8">
        <v>50</v>
      </c>
      <c r="J10" s="70"/>
      <c r="K10" s="70"/>
    </row>
    <row r="11" spans="2:11" x14ac:dyDescent="0.25">
      <c r="B11" s="8"/>
      <c r="C11" s="4"/>
      <c r="D11" s="8"/>
      <c r="E11" s="4"/>
      <c r="F11" s="4"/>
      <c r="G11" s="4"/>
      <c r="H11" s="4"/>
      <c r="I11" s="8"/>
      <c r="J11" s="9"/>
      <c r="K11" s="3"/>
    </row>
    <row r="12" spans="2:11" ht="30" x14ac:dyDescent="0.25">
      <c r="B12" s="8" t="s">
        <v>14</v>
      </c>
      <c r="C12" s="65">
        <v>999999</v>
      </c>
      <c r="D12" s="8"/>
      <c r="E12" s="6">
        <v>999999</v>
      </c>
      <c r="F12" s="6">
        <v>999999</v>
      </c>
      <c r="G12" s="6">
        <v>999999</v>
      </c>
      <c r="H12" s="6">
        <v>999999</v>
      </c>
      <c r="I12" s="10">
        <v>999999</v>
      </c>
      <c r="J12" s="3" t="s">
        <v>24</v>
      </c>
      <c r="K12" s="3" t="s">
        <v>25</v>
      </c>
    </row>
    <row r="13" spans="2:11" ht="30" x14ac:dyDescent="0.25">
      <c r="B13" s="8" t="s">
        <v>15</v>
      </c>
      <c r="C13" s="65">
        <v>30000</v>
      </c>
      <c r="D13" s="8"/>
      <c r="E13" s="6">
        <v>30000</v>
      </c>
      <c r="F13" s="6">
        <v>30000</v>
      </c>
      <c r="G13" s="6">
        <v>30000</v>
      </c>
      <c r="H13" s="6">
        <v>30000</v>
      </c>
      <c r="I13" s="10">
        <v>30000</v>
      </c>
      <c r="J13" s="3" t="s">
        <v>20</v>
      </c>
      <c r="K13" s="3" t="s">
        <v>16</v>
      </c>
    </row>
    <row r="14" spans="2:11" ht="90" x14ac:dyDescent="0.25">
      <c r="B14" s="8" t="s">
        <v>1542</v>
      </c>
      <c r="C14" s="1" t="s">
        <v>3</v>
      </c>
      <c r="D14" s="2"/>
      <c r="E14" s="2"/>
      <c r="F14" s="2"/>
      <c r="G14" s="2"/>
      <c r="H14" s="2" t="s">
        <v>3</v>
      </c>
      <c r="I14" s="2"/>
      <c r="J14" s="9" t="s">
        <v>1563</v>
      </c>
      <c r="K14" s="3"/>
    </row>
    <row r="15" spans="2:11" x14ac:dyDescent="0.25">
      <c r="B15" s="8"/>
      <c r="C15" s="4"/>
      <c r="D15" s="8"/>
      <c r="E15" s="4"/>
      <c r="F15" s="4"/>
      <c r="G15" s="4"/>
      <c r="H15" s="4"/>
      <c r="I15" s="8"/>
      <c r="J15" s="9"/>
      <c r="K15" s="3"/>
    </row>
    <row r="16" spans="2:11" x14ac:dyDescent="0.25">
      <c r="B16" s="8" t="s">
        <v>17</v>
      </c>
      <c r="C16" s="11">
        <v>900</v>
      </c>
      <c r="D16" s="8"/>
      <c r="E16" s="4">
        <f>(E6-E5)/E9</f>
        <v>1046</v>
      </c>
      <c r="F16" s="4">
        <f>(F6-F5)/F9</f>
        <v>2030.0000000000011</v>
      </c>
      <c r="G16" s="4">
        <f>(G6-G5)/G9</f>
        <v>631.00000000000023</v>
      </c>
      <c r="H16" s="4">
        <f>(H6-H5)/H9</f>
        <v>2000</v>
      </c>
      <c r="I16" s="4">
        <f>(I6-I5)/I9</f>
        <v>900</v>
      </c>
      <c r="J16" s="70" t="s">
        <v>21</v>
      </c>
      <c r="K16" s="70" t="s">
        <v>18</v>
      </c>
    </row>
    <row r="17" spans="2:11" x14ac:dyDescent="0.25">
      <c r="B17" s="8" t="s">
        <v>19</v>
      </c>
      <c r="C17" s="11">
        <v>800</v>
      </c>
      <c r="D17" s="8"/>
      <c r="E17" s="4">
        <f>(E8-E7)/E10</f>
        <v>1305</v>
      </c>
      <c r="F17" s="4">
        <f>(F8-F7)/F10</f>
        <v>960.0000000000008</v>
      </c>
      <c r="G17" s="4">
        <f>(G8-G7)/G10</f>
        <v>603.9999999999992</v>
      </c>
      <c r="H17" s="4">
        <f>(H8-H7)/H10</f>
        <v>1100.0000000000014</v>
      </c>
      <c r="I17" s="4">
        <f>(I8-I7)/I10</f>
        <v>800</v>
      </c>
      <c r="J17" s="70"/>
      <c r="K17" s="70"/>
    </row>
  </sheetData>
  <mergeCells count="6">
    <mergeCell ref="J5:J8"/>
    <mergeCell ref="K5:K8"/>
    <mergeCell ref="J9:J10"/>
    <mergeCell ref="K9:K10"/>
    <mergeCell ref="K16:K17"/>
    <mergeCell ref="J16:J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31"/>
  <sheetViews>
    <sheetView tabSelected="1" zoomScale="85" zoomScaleNormal="85" workbookViewId="0"/>
  </sheetViews>
  <sheetFormatPr defaultRowHeight="15" x14ac:dyDescent="0.25"/>
  <cols>
    <col min="1" max="1" width="47" customWidth="1"/>
    <col min="2" max="2" width="74.5703125" customWidth="1"/>
    <col min="3" max="3" width="70.42578125" customWidth="1"/>
    <col min="4" max="4" width="61.42578125" customWidth="1"/>
    <col min="5" max="5" width="51.85546875" customWidth="1"/>
  </cols>
  <sheetData>
    <row r="1" spans="1:5" ht="131.25" customHeight="1" x14ac:dyDescent="0.25">
      <c r="A1" s="23" t="s">
        <v>128</v>
      </c>
      <c r="B1" s="28" t="s">
        <v>1548</v>
      </c>
      <c r="D1" s="71" t="s">
        <v>1551</v>
      </c>
      <c r="E1" s="71"/>
    </row>
    <row r="3" spans="1:5" ht="39" x14ac:dyDescent="0.25">
      <c r="A3" s="29" t="s">
        <v>134</v>
      </c>
      <c r="B3" s="26" t="s">
        <v>129</v>
      </c>
      <c r="C3" s="2" t="s">
        <v>1554</v>
      </c>
      <c r="D3" s="2" t="s">
        <v>1554</v>
      </c>
      <c r="E3" s="2" t="s">
        <v>1554</v>
      </c>
    </row>
    <row r="4" spans="1:5" x14ac:dyDescent="0.25">
      <c r="A4" s="30"/>
      <c r="B4" s="12"/>
      <c r="C4" s="2"/>
      <c r="D4" s="2"/>
    </row>
    <row r="5" spans="1:5" x14ac:dyDescent="0.25">
      <c r="A5" s="30" t="s">
        <v>27</v>
      </c>
      <c r="B5" s="12" t="s">
        <v>33</v>
      </c>
      <c r="C5" s="2" t="s">
        <v>1531</v>
      </c>
      <c r="D5" s="2" t="s">
        <v>1559</v>
      </c>
      <c r="E5" s="2" t="s">
        <v>1559</v>
      </c>
    </row>
    <row r="6" spans="1:5" x14ac:dyDescent="0.25">
      <c r="A6" s="30" t="s">
        <v>28</v>
      </c>
      <c r="B6" s="12" t="s">
        <v>34</v>
      </c>
      <c r="C6" s="2" t="s">
        <v>1532</v>
      </c>
      <c r="D6" s="2" t="s">
        <v>1532</v>
      </c>
      <c r="E6" s="2" t="s">
        <v>1532</v>
      </c>
    </row>
    <row r="7" spans="1:5" x14ac:dyDescent="0.25">
      <c r="A7" s="30"/>
      <c r="B7" s="12"/>
      <c r="C7" s="2"/>
      <c r="D7" s="2"/>
      <c r="E7" s="2"/>
    </row>
    <row r="8" spans="1:5" x14ac:dyDescent="0.25">
      <c r="A8" s="30"/>
      <c r="B8" s="12" t="s">
        <v>139</v>
      </c>
      <c r="C8" s="2" t="s">
        <v>140</v>
      </c>
      <c r="D8" s="2" t="s">
        <v>140</v>
      </c>
      <c r="E8" s="2" t="s">
        <v>140</v>
      </c>
    </row>
    <row r="9" spans="1:5" x14ac:dyDescent="0.25">
      <c r="A9" s="30" t="s">
        <v>138</v>
      </c>
      <c r="B9" s="25" t="s">
        <v>1535</v>
      </c>
      <c r="C9" s="2">
        <v>16</v>
      </c>
      <c r="D9" s="2">
        <v>16</v>
      </c>
      <c r="E9" s="2">
        <v>777</v>
      </c>
    </row>
    <row r="10" spans="1:5" x14ac:dyDescent="0.25">
      <c r="A10" s="30"/>
      <c r="B10" s="12" t="s">
        <v>1546</v>
      </c>
      <c r="C10" s="2">
        <v>25</v>
      </c>
      <c r="D10" s="2">
        <v>25</v>
      </c>
      <c r="E10" s="2">
        <v>25</v>
      </c>
    </row>
    <row r="11" spans="1:5" x14ac:dyDescent="0.25">
      <c r="A11" s="30"/>
      <c r="B11" s="12" t="s">
        <v>1536</v>
      </c>
      <c r="C11" s="2" t="s">
        <v>141</v>
      </c>
      <c r="D11" s="2" t="s">
        <v>141</v>
      </c>
      <c r="E11" s="2" t="s">
        <v>141</v>
      </c>
    </row>
    <row r="12" spans="1:5" ht="30" x14ac:dyDescent="0.25">
      <c r="A12" s="30" t="s">
        <v>32</v>
      </c>
      <c r="B12" s="25" t="s">
        <v>1550</v>
      </c>
      <c r="C12" s="2">
        <v>1E-3</v>
      </c>
      <c r="D12" s="2">
        <v>1E-3</v>
      </c>
      <c r="E12" s="2">
        <v>1E-3</v>
      </c>
    </row>
    <row r="13" spans="1:5" x14ac:dyDescent="0.25">
      <c r="A13" s="30" t="s">
        <v>31</v>
      </c>
      <c r="B13" s="12" t="s">
        <v>1539</v>
      </c>
      <c r="C13" s="2" t="s">
        <v>1538</v>
      </c>
      <c r="D13" s="2" t="s">
        <v>1538</v>
      </c>
      <c r="E13" s="2" t="s">
        <v>1538</v>
      </c>
    </row>
    <row r="14" spans="1:5" ht="30" x14ac:dyDescent="0.25">
      <c r="A14" s="30"/>
      <c r="B14" s="25" t="s">
        <v>1540</v>
      </c>
      <c r="C14" s="2" t="s">
        <v>1537</v>
      </c>
      <c r="D14" s="2" t="s">
        <v>1537</v>
      </c>
      <c r="E14" s="2" t="s">
        <v>137</v>
      </c>
    </row>
    <row r="15" spans="1:5" x14ac:dyDescent="0.25">
      <c r="A15" s="30"/>
      <c r="B15" s="25" t="s">
        <v>1541</v>
      </c>
      <c r="C15" s="2">
        <v>200</v>
      </c>
      <c r="D15" s="2">
        <v>200</v>
      </c>
      <c r="E15" s="2">
        <v>0</v>
      </c>
    </row>
    <row r="16" spans="1:5" x14ac:dyDescent="0.25">
      <c r="A16" s="30"/>
      <c r="B16" s="26" t="s">
        <v>1549</v>
      </c>
      <c r="C16" s="2" t="s">
        <v>3</v>
      </c>
      <c r="D16" s="2"/>
      <c r="E16" s="2"/>
    </row>
    <row r="17" spans="1:5" x14ac:dyDescent="0.25">
      <c r="A17" s="30"/>
      <c r="B17" s="26"/>
      <c r="C17" s="2"/>
      <c r="D17" s="2"/>
      <c r="E17" s="2"/>
    </row>
    <row r="18" spans="1:5" x14ac:dyDescent="0.25">
      <c r="A18" s="30"/>
      <c r="B18" s="26" t="s">
        <v>1555</v>
      </c>
      <c r="C18" s="2"/>
      <c r="D18" s="2"/>
      <c r="E18" s="2"/>
    </row>
    <row r="19" spans="1:5" x14ac:dyDescent="0.25">
      <c r="A19" s="30" t="s">
        <v>29</v>
      </c>
      <c r="B19" s="12" t="s">
        <v>130</v>
      </c>
      <c r="C19" s="2" t="s">
        <v>1553</v>
      </c>
      <c r="D19" s="2" t="s">
        <v>1560</v>
      </c>
      <c r="E19" s="2" t="s">
        <v>1533</v>
      </c>
    </row>
    <row r="20" spans="1:5" x14ac:dyDescent="0.25">
      <c r="A20" s="30" t="s">
        <v>30</v>
      </c>
      <c r="B20" s="12" t="s">
        <v>131</v>
      </c>
      <c r="C20" s="2" t="s">
        <v>1552</v>
      </c>
      <c r="D20" s="2" t="s">
        <v>1557</v>
      </c>
      <c r="E20" s="2" t="s">
        <v>1534</v>
      </c>
    </row>
    <row r="21" spans="1:5" s="2" customFormat="1" ht="56.25" customHeight="1" x14ac:dyDescent="0.25">
      <c r="A21" s="2" t="s">
        <v>135</v>
      </c>
      <c r="B21" s="27" t="s">
        <v>133</v>
      </c>
      <c r="C21" s="2" t="s">
        <v>3</v>
      </c>
    </row>
    <row r="22" spans="1:5" ht="404.25" customHeight="1" x14ac:dyDescent="0.25">
      <c r="B22" s="4" t="s">
        <v>132</v>
      </c>
      <c r="C22" s="24" t="s">
        <v>1562</v>
      </c>
      <c r="D22" s="24" t="s">
        <v>1561</v>
      </c>
      <c r="E22" s="24" t="s">
        <v>1558</v>
      </c>
    </row>
    <row r="25" spans="1:5" x14ac:dyDescent="0.25">
      <c r="B25" s="68"/>
    </row>
    <row r="26" spans="1:5" x14ac:dyDescent="0.25">
      <c r="D26" s="66"/>
    </row>
    <row r="27" spans="1:5" x14ac:dyDescent="0.25">
      <c r="C27" s="67"/>
    </row>
    <row r="28" spans="1:5" x14ac:dyDescent="0.25">
      <c r="C28" s="67"/>
    </row>
    <row r="29" spans="1:5" x14ac:dyDescent="0.25">
      <c r="C29" s="67"/>
    </row>
    <row r="30" spans="1:5" x14ac:dyDescent="0.25">
      <c r="C30" s="67"/>
    </row>
    <row r="31" spans="1:5" x14ac:dyDescent="0.25">
      <c r="C31" s="68"/>
    </row>
  </sheetData>
  <mergeCells count="1">
    <mergeCell ref="D1: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r_to_cell">
                <anchor moveWithCells="1" sizeWithCells="1">
                  <from>
                    <xdr:col>0</xdr:col>
                    <xdr:colOff>752475</xdr:colOff>
                    <xdr:row>0</xdr:row>
                    <xdr:rowOff>66675</xdr:rowOff>
                  </from>
                  <to>
                    <xdr:col>0</xdr:col>
                    <xdr:colOff>2562225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FileDialogOpen">
                <anchor moveWithCells="1" sizeWithCells="1">
                  <from>
                    <xdr:col>2</xdr:col>
                    <xdr:colOff>161925</xdr:colOff>
                    <xdr:row>0</xdr:row>
                    <xdr:rowOff>180975</xdr:rowOff>
                  </from>
                  <to>
                    <xdr:col>2</xdr:col>
                    <xdr:colOff>2143125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Worksheet">
                <anchor moveWithCells="1" sizeWithCells="1">
                  <from>
                    <xdr:col>2</xdr:col>
                    <xdr:colOff>2466975</xdr:colOff>
                    <xdr:row>0</xdr:row>
                    <xdr:rowOff>180975</xdr:rowOff>
                  </from>
                  <to>
                    <xdr:col>2</xdr:col>
                    <xdr:colOff>4448175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_Cones">
                <anchor moveWithCells="1" sizeWithCells="1">
                  <from>
                    <xdr:col>1</xdr:col>
                    <xdr:colOff>104775</xdr:colOff>
                    <xdr:row>20</xdr:row>
                    <xdr:rowOff>95250</xdr:rowOff>
                  </from>
                  <to>
                    <xdr:col>1</xdr:col>
                    <xdr:colOff>3543300</xdr:colOff>
                    <xdr:row>20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90"/>
  <sheetViews>
    <sheetView topLeftCell="A10" workbookViewId="0">
      <selection activeCell="M9" sqref="M9"/>
    </sheetView>
  </sheetViews>
  <sheetFormatPr defaultRowHeight="15" x14ac:dyDescent="0.25"/>
  <cols>
    <col min="2" max="2" width="42" customWidth="1"/>
    <col min="3" max="3" width="27.140625" customWidth="1"/>
    <col min="4" max="4" width="18" customWidth="1"/>
    <col min="5" max="5" width="30.5703125" customWidth="1"/>
    <col min="6" max="9" width="10.5703125" customWidth="1"/>
  </cols>
  <sheetData>
    <row r="1" spans="1:14" x14ac:dyDescent="0.25">
      <c r="F1" s="62">
        <v>1500</v>
      </c>
      <c r="G1" s="62">
        <v>2500</v>
      </c>
      <c r="H1" s="62">
        <v>3500</v>
      </c>
      <c r="I1" s="62">
        <v>6000</v>
      </c>
    </row>
    <row r="2" spans="1:14" x14ac:dyDescent="0.25">
      <c r="A2" s="31"/>
      <c r="B2" s="31"/>
      <c r="C2" s="31"/>
      <c r="D2" s="32"/>
      <c r="E2" s="32"/>
      <c r="F2" s="72" t="s">
        <v>144</v>
      </c>
      <c r="G2" s="72"/>
      <c r="H2" s="72"/>
      <c r="I2" s="72"/>
    </row>
    <row r="3" spans="1:14" ht="107.25" customHeight="1" x14ac:dyDescent="0.25">
      <c r="A3" s="75" t="s">
        <v>1520</v>
      </c>
      <c r="B3" s="75"/>
      <c r="C3" s="75"/>
      <c r="D3" s="31"/>
      <c r="E3" s="36" t="s">
        <v>149</v>
      </c>
      <c r="F3" s="38" t="s">
        <v>147</v>
      </c>
      <c r="G3" s="38" t="s">
        <v>148</v>
      </c>
      <c r="H3" s="38" t="s">
        <v>145</v>
      </c>
      <c r="I3" s="38" t="s">
        <v>146</v>
      </c>
    </row>
    <row r="4" spans="1:14" ht="15.75" thickBot="1" x14ac:dyDescent="0.3">
      <c r="A4" s="31"/>
      <c r="B4" s="31"/>
      <c r="C4" s="31"/>
      <c r="D4" s="31"/>
      <c r="E4" s="33"/>
      <c r="F4" s="40">
        <v>1</v>
      </c>
      <c r="G4" s="40">
        <v>2</v>
      </c>
      <c r="H4" s="40">
        <v>3</v>
      </c>
      <c r="I4" s="40">
        <v>4</v>
      </c>
      <c r="J4" t="s">
        <v>153</v>
      </c>
    </row>
    <row r="5" spans="1:14" x14ac:dyDescent="0.25">
      <c r="A5" s="31"/>
      <c r="B5" s="31"/>
      <c r="C5" s="31"/>
      <c r="D5" s="53" t="s">
        <v>158</v>
      </c>
      <c r="E5" s="41"/>
      <c r="F5" s="42" t="s">
        <v>152</v>
      </c>
      <c r="G5" s="43" t="s">
        <v>151</v>
      </c>
      <c r="H5" s="43" t="s">
        <v>150</v>
      </c>
      <c r="I5" s="44" t="s">
        <v>155</v>
      </c>
      <c r="J5" t="s">
        <v>154</v>
      </c>
    </row>
    <row r="6" spans="1:14" x14ac:dyDescent="0.25">
      <c r="A6" s="31"/>
      <c r="B6" s="34">
        <v>0</v>
      </c>
      <c r="C6" s="31"/>
      <c r="D6" s="52" t="s">
        <v>157</v>
      </c>
      <c r="E6" s="35">
        <v>-1</v>
      </c>
      <c r="F6" s="37">
        <v>0</v>
      </c>
      <c r="G6" s="37">
        <v>0</v>
      </c>
      <c r="H6" s="37">
        <v>0</v>
      </c>
      <c r="I6" s="45">
        <v>0</v>
      </c>
      <c r="J6" t="s">
        <v>156</v>
      </c>
    </row>
    <row r="7" spans="1:14" ht="52.5" customHeight="1" x14ac:dyDescent="0.25">
      <c r="A7" s="73" t="s">
        <v>143</v>
      </c>
      <c r="B7" s="34">
        <v>1</v>
      </c>
      <c r="C7" s="39" t="s">
        <v>147</v>
      </c>
      <c r="D7" s="50" t="s">
        <v>152</v>
      </c>
      <c r="E7" s="37">
        <v>1500</v>
      </c>
      <c r="F7" s="35">
        <v>-1</v>
      </c>
      <c r="G7" s="35">
        <v>-1</v>
      </c>
      <c r="H7" s="35">
        <v>-1</v>
      </c>
      <c r="I7" s="46">
        <f>$E7+I$1-MIN(I$1,$E7)/2 -$E7</f>
        <v>5250</v>
      </c>
    </row>
    <row r="8" spans="1:14" ht="52.5" customHeight="1" x14ac:dyDescent="0.25">
      <c r="A8" s="74"/>
      <c r="B8" s="34">
        <v>2</v>
      </c>
      <c r="C8" s="39" t="s">
        <v>148</v>
      </c>
      <c r="D8" s="50" t="s">
        <v>151</v>
      </c>
      <c r="E8" s="37">
        <v>2500</v>
      </c>
      <c r="F8" s="35">
        <v>-1</v>
      </c>
      <c r="G8" s="64">
        <f t="shared" ref="G8:H10" si="0">$E8+G$1-MIN(G$1,$E8)/2 -$E8</f>
        <v>1250</v>
      </c>
      <c r="H8" s="64">
        <f t="shared" si="0"/>
        <v>2250</v>
      </c>
      <c r="I8" s="46">
        <f>$E8+I$1-MIN(I$1,$E8)/2 -$E8</f>
        <v>4750</v>
      </c>
    </row>
    <row r="9" spans="1:14" ht="52.5" customHeight="1" x14ac:dyDescent="0.25">
      <c r="A9" s="74"/>
      <c r="B9" s="34">
        <v>3</v>
      </c>
      <c r="C9" s="39" t="s">
        <v>145</v>
      </c>
      <c r="D9" s="50" t="s">
        <v>150</v>
      </c>
      <c r="E9" s="37">
        <v>3500</v>
      </c>
      <c r="F9" s="35">
        <v>-1</v>
      </c>
      <c r="G9" s="64">
        <f t="shared" si="0"/>
        <v>1250</v>
      </c>
      <c r="H9" s="64">
        <f t="shared" si="0"/>
        <v>1750</v>
      </c>
      <c r="I9" s="46">
        <f>$E9+I$1-MIN(I$1,$E9)/2 -$E9</f>
        <v>4250</v>
      </c>
    </row>
    <row r="10" spans="1:14" ht="52.5" customHeight="1" thickBot="1" x14ac:dyDescent="0.3">
      <c r="A10" s="74"/>
      <c r="B10" s="34">
        <v>5</v>
      </c>
      <c r="C10" s="39" t="s">
        <v>146</v>
      </c>
      <c r="D10" s="51" t="s">
        <v>155</v>
      </c>
      <c r="E10" s="47">
        <v>6000</v>
      </c>
      <c r="F10" s="48">
        <f>$E10+F$1-MIN(F$1,$E10)/2 -$E10</f>
        <v>750</v>
      </c>
      <c r="G10" s="48">
        <f t="shared" si="0"/>
        <v>1250</v>
      </c>
      <c r="H10" s="63">
        <f t="shared" si="0"/>
        <v>1750</v>
      </c>
      <c r="I10" s="49">
        <v>0</v>
      </c>
    </row>
    <row r="13" spans="1:14" ht="128.25" customHeight="1" thickBot="1" x14ac:dyDescent="0.3">
      <c r="A13" s="76" t="s">
        <v>1530</v>
      </c>
      <c r="B13" s="76"/>
      <c r="C13" s="76"/>
    </row>
    <row r="14" spans="1:14" x14ac:dyDescent="0.25">
      <c r="C14" s="55" t="s">
        <v>160</v>
      </c>
      <c r="D14" s="56" t="s">
        <v>159</v>
      </c>
      <c r="E14" s="57" t="s">
        <v>1521</v>
      </c>
      <c r="F14" s="54" t="s">
        <v>137</v>
      </c>
      <c r="G14" s="54" t="s">
        <v>1523</v>
      </c>
      <c r="H14" s="54" t="s">
        <v>1524</v>
      </c>
      <c r="I14" s="54" t="s">
        <v>142</v>
      </c>
      <c r="J14" s="54" t="s">
        <v>1522</v>
      </c>
      <c r="K14" s="54" t="s">
        <v>136</v>
      </c>
    </row>
    <row r="15" spans="1:14" x14ac:dyDescent="0.25">
      <c r="B15" t="s">
        <v>161</v>
      </c>
      <c r="C15" s="58" t="s">
        <v>162</v>
      </c>
      <c r="D15" s="59" t="s">
        <v>150</v>
      </c>
      <c r="E15" s="57" t="s">
        <v>163</v>
      </c>
      <c r="F15" s="54" t="s">
        <v>150</v>
      </c>
      <c r="G15" s="54">
        <v>25.86</v>
      </c>
      <c r="H15" s="54">
        <v>5</v>
      </c>
      <c r="I15" s="54">
        <v>2.5</v>
      </c>
      <c r="J15" s="54">
        <v>0</v>
      </c>
      <c r="K15" s="54">
        <v>14</v>
      </c>
      <c r="N15" t="s">
        <v>161</v>
      </c>
    </row>
    <row r="16" spans="1:14" x14ac:dyDescent="0.25">
      <c r="B16" t="s">
        <v>161</v>
      </c>
      <c r="C16" s="58" t="s">
        <v>165</v>
      </c>
      <c r="D16" s="59" t="s">
        <v>150</v>
      </c>
      <c r="E16" s="57" t="s">
        <v>166</v>
      </c>
      <c r="F16" s="54" t="s">
        <v>150</v>
      </c>
      <c r="G16" s="54">
        <v>22.07</v>
      </c>
      <c r="H16" s="54">
        <v>5</v>
      </c>
      <c r="I16" s="54">
        <v>2.5</v>
      </c>
      <c r="J16" s="54">
        <v>0</v>
      </c>
      <c r="K16" s="54">
        <v>14</v>
      </c>
      <c r="N16" t="s">
        <v>161</v>
      </c>
    </row>
    <row r="17" spans="2:14" x14ac:dyDescent="0.25">
      <c r="B17" t="s">
        <v>1527</v>
      </c>
      <c r="C17" s="58" t="s">
        <v>167</v>
      </c>
      <c r="D17" s="59" t="s">
        <v>155</v>
      </c>
      <c r="E17" s="57" t="s">
        <v>168</v>
      </c>
      <c r="F17" s="54" t="s">
        <v>150</v>
      </c>
      <c r="G17" s="54">
        <v>32.53</v>
      </c>
      <c r="H17" s="54">
        <v>5</v>
      </c>
      <c r="I17" s="54">
        <v>2.5</v>
      </c>
      <c r="J17" s="54">
        <v>0</v>
      </c>
      <c r="K17" s="54">
        <v>14</v>
      </c>
      <c r="N17" t="s">
        <v>161</v>
      </c>
    </row>
    <row r="18" spans="2:14" x14ac:dyDescent="0.25">
      <c r="B18" t="s">
        <v>1527</v>
      </c>
      <c r="C18" s="58" t="s">
        <v>169</v>
      </c>
      <c r="D18" s="59" t="s">
        <v>155</v>
      </c>
      <c r="E18" s="57" t="s">
        <v>170</v>
      </c>
      <c r="F18" s="54" t="s">
        <v>150</v>
      </c>
      <c r="G18" s="54">
        <v>34.07</v>
      </c>
      <c r="H18" s="54">
        <v>5</v>
      </c>
      <c r="I18" s="54">
        <v>2.5</v>
      </c>
      <c r="J18" s="54">
        <v>0</v>
      </c>
      <c r="K18" s="54">
        <v>14</v>
      </c>
      <c r="N18" t="s">
        <v>161</v>
      </c>
    </row>
    <row r="19" spans="2:14" x14ac:dyDescent="0.25">
      <c r="B19" t="s">
        <v>1527</v>
      </c>
      <c r="C19" s="58" t="s">
        <v>171</v>
      </c>
      <c r="D19" s="59" t="s">
        <v>155</v>
      </c>
      <c r="E19" s="57" t="s">
        <v>172</v>
      </c>
      <c r="F19" s="54" t="s">
        <v>150</v>
      </c>
      <c r="G19" s="54">
        <v>25.71</v>
      </c>
      <c r="H19" s="54">
        <v>5</v>
      </c>
      <c r="I19" s="54">
        <v>2.5</v>
      </c>
      <c r="J19" s="54">
        <v>0</v>
      </c>
      <c r="K19" s="54">
        <v>14</v>
      </c>
      <c r="N19" t="s">
        <v>161</v>
      </c>
    </row>
    <row r="20" spans="2:14" x14ac:dyDescent="0.25">
      <c r="B20" t="s">
        <v>1527</v>
      </c>
      <c r="C20" s="58" t="s">
        <v>173</v>
      </c>
      <c r="D20" s="59" t="s">
        <v>155</v>
      </c>
      <c r="E20" s="57" t="s">
        <v>174</v>
      </c>
      <c r="F20" s="54" t="s">
        <v>150</v>
      </c>
      <c r="G20" s="54">
        <v>25.77</v>
      </c>
      <c r="H20" s="54">
        <v>5</v>
      </c>
      <c r="I20" s="54">
        <v>2.5</v>
      </c>
      <c r="J20" s="54">
        <v>0</v>
      </c>
      <c r="K20" s="54">
        <v>14</v>
      </c>
      <c r="N20" t="s">
        <v>161</v>
      </c>
    </row>
    <row r="21" spans="2:14" x14ac:dyDescent="0.25">
      <c r="C21" s="58" t="s">
        <v>175</v>
      </c>
      <c r="D21" s="59" t="s">
        <v>150</v>
      </c>
      <c r="E21" s="57" t="s">
        <v>176</v>
      </c>
      <c r="F21" s="54" t="s">
        <v>150</v>
      </c>
      <c r="G21" s="54">
        <v>24.33</v>
      </c>
      <c r="H21" s="54">
        <v>5</v>
      </c>
      <c r="I21" s="54">
        <v>2.5</v>
      </c>
      <c r="J21" s="54">
        <v>0</v>
      </c>
      <c r="K21" s="54">
        <v>14</v>
      </c>
      <c r="N21" t="s">
        <v>161</v>
      </c>
    </row>
    <row r="22" spans="2:14" x14ac:dyDescent="0.25">
      <c r="C22" s="58" t="s">
        <v>177</v>
      </c>
      <c r="D22" s="59" t="s">
        <v>150</v>
      </c>
      <c r="E22" s="57" t="s">
        <v>178</v>
      </c>
      <c r="F22" s="54" t="s">
        <v>150</v>
      </c>
      <c r="G22" s="54">
        <v>24.33</v>
      </c>
      <c r="H22" s="54">
        <v>5</v>
      </c>
      <c r="I22" s="54">
        <v>2.5</v>
      </c>
      <c r="J22" s="54">
        <v>0</v>
      </c>
      <c r="K22" s="54">
        <v>14</v>
      </c>
      <c r="N22" t="s">
        <v>161</v>
      </c>
    </row>
    <row r="23" spans="2:14" x14ac:dyDescent="0.25">
      <c r="B23" t="s">
        <v>161</v>
      </c>
      <c r="C23" s="58" t="s">
        <v>179</v>
      </c>
      <c r="D23" s="59" t="s">
        <v>150</v>
      </c>
      <c r="E23" s="57" t="s">
        <v>180</v>
      </c>
      <c r="F23" s="54" t="s">
        <v>150</v>
      </c>
      <c r="G23" s="54">
        <v>20.170000000000002</v>
      </c>
      <c r="H23" s="54">
        <v>5</v>
      </c>
      <c r="I23" s="54">
        <v>2.5</v>
      </c>
      <c r="J23" s="54">
        <v>0</v>
      </c>
      <c r="K23" s="54">
        <v>14</v>
      </c>
      <c r="N23" t="s">
        <v>161</v>
      </c>
    </row>
    <row r="24" spans="2:14" x14ac:dyDescent="0.25">
      <c r="B24" t="s">
        <v>161</v>
      </c>
      <c r="C24" s="58" t="s">
        <v>181</v>
      </c>
      <c r="D24" s="59" t="s">
        <v>150</v>
      </c>
      <c r="E24" s="57" t="s">
        <v>182</v>
      </c>
      <c r="F24" s="54" t="s">
        <v>150</v>
      </c>
      <c r="G24" s="54">
        <v>20.89</v>
      </c>
      <c r="H24" s="54">
        <v>5</v>
      </c>
      <c r="I24" s="54">
        <v>2.5</v>
      </c>
      <c r="J24" s="54">
        <v>0</v>
      </c>
      <c r="K24" s="54">
        <v>14</v>
      </c>
      <c r="N24" t="s">
        <v>161</v>
      </c>
    </row>
    <row r="25" spans="2:14" x14ac:dyDescent="0.25">
      <c r="B25" t="s">
        <v>161</v>
      </c>
      <c r="C25" s="58" t="s">
        <v>183</v>
      </c>
      <c r="D25" s="59" t="s">
        <v>150</v>
      </c>
      <c r="E25" s="57" t="s">
        <v>184</v>
      </c>
      <c r="F25" s="54" t="s">
        <v>150</v>
      </c>
      <c r="G25" s="54">
        <v>25.44</v>
      </c>
      <c r="H25" s="54">
        <v>5</v>
      </c>
      <c r="I25" s="54">
        <v>2.5</v>
      </c>
      <c r="J25" s="54">
        <v>0</v>
      </c>
      <c r="K25" s="54">
        <v>14</v>
      </c>
      <c r="N25" t="s">
        <v>161</v>
      </c>
    </row>
    <row r="26" spans="2:14" x14ac:dyDescent="0.25">
      <c r="B26" t="s">
        <v>161</v>
      </c>
      <c r="C26" s="58" t="s">
        <v>185</v>
      </c>
      <c r="D26" s="59" t="s">
        <v>150</v>
      </c>
      <c r="E26" s="57" t="s">
        <v>186</v>
      </c>
      <c r="F26" s="54" t="s">
        <v>150</v>
      </c>
      <c r="G26" s="54">
        <v>27.44</v>
      </c>
      <c r="H26" s="54">
        <v>5</v>
      </c>
      <c r="I26" s="54">
        <v>2.5</v>
      </c>
      <c r="J26" s="54">
        <v>0</v>
      </c>
      <c r="K26" s="54">
        <v>14</v>
      </c>
      <c r="N26" t="s">
        <v>161</v>
      </c>
    </row>
    <row r="27" spans="2:14" x14ac:dyDescent="0.25">
      <c r="B27" t="s">
        <v>161</v>
      </c>
      <c r="C27" s="58" t="s">
        <v>187</v>
      </c>
      <c r="D27" s="59" t="s">
        <v>150</v>
      </c>
      <c r="E27" s="57" t="s">
        <v>188</v>
      </c>
      <c r="F27" s="54" t="s">
        <v>150</v>
      </c>
      <c r="G27" s="54">
        <v>21.08</v>
      </c>
      <c r="H27" s="54">
        <v>5</v>
      </c>
      <c r="I27" s="54">
        <v>2.5</v>
      </c>
      <c r="J27" s="54">
        <v>0</v>
      </c>
      <c r="K27" s="54">
        <v>14</v>
      </c>
      <c r="N27" t="s">
        <v>161</v>
      </c>
    </row>
    <row r="28" spans="2:14" x14ac:dyDescent="0.25">
      <c r="B28" t="s">
        <v>161</v>
      </c>
      <c r="C28" s="58" t="s">
        <v>189</v>
      </c>
      <c r="D28" s="59" t="s">
        <v>150</v>
      </c>
      <c r="E28" s="57" t="s">
        <v>190</v>
      </c>
      <c r="F28" s="54" t="s">
        <v>150</v>
      </c>
      <c r="G28" s="54">
        <v>21.75</v>
      </c>
      <c r="H28" s="54">
        <v>5</v>
      </c>
      <c r="I28" s="54">
        <v>2.5</v>
      </c>
      <c r="J28" s="54">
        <v>0</v>
      </c>
      <c r="K28" s="54">
        <v>14</v>
      </c>
      <c r="N28" t="s">
        <v>161</v>
      </c>
    </row>
    <row r="29" spans="2:14" x14ac:dyDescent="0.25">
      <c r="B29" t="s">
        <v>1529</v>
      </c>
      <c r="C29" s="58" t="s">
        <v>191</v>
      </c>
      <c r="D29" s="59">
        <v>12</v>
      </c>
      <c r="E29" s="57" t="s">
        <v>192</v>
      </c>
      <c r="F29" s="54" t="s">
        <v>150</v>
      </c>
      <c r="G29" s="54">
        <v>23.35</v>
      </c>
      <c r="H29" s="54">
        <v>5</v>
      </c>
      <c r="I29" s="54">
        <v>2.5</v>
      </c>
      <c r="J29" s="54">
        <v>0</v>
      </c>
      <c r="K29" s="54">
        <v>14</v>
      </c>
      <c r="N29" t="s">
        <v>161</v>
      </c>
    </row>
    <row r="30" spans="2:14" x14ac:dyDescent="0.25">
      <c r="B30" t="s">
        <v>1529</v>
      </c>
      <c r="C30" s="58" t="s">
        <v>193</v>
      </c>
      <c r="D30" s="59">
        <v>12</v>
      </c>
      <c r="E30" s="57" t="s">
        <v>194</v>
      </c>
      <c r="F30" s="54" t="s">
        <v>150</v>
      </c>
      <c r="G30" s="54">
        <v>24.45</v>
      </c>
      <c r="H30" s="54">
        <v>5</v>
      </c>
      <c r="I30" s="54">
        <v>2.5</v>
      </c>
      <c r="J30" s="54">
        <v>0</v>
      </c>
      <c r="K30" s="54">
        <v>14</v>
      </c>
      <c r="N30" t="s">
        <v>161</v>
      </c>
    </row>
    <row r="31" spans="2:14" x14ac:dyDescent="0.25">
      <c r="B31" t="s">
        <v>161</v>
      </c>
      <c r="C31" s="58" t="s">
        <v>195</v>
      </c>
      <c r="D31" s="59" t="s">
        <v>150</v>
      </c>
      <c r="E31" s="57" t="s">
        <v>196</v>
      </c>
      <c r="F31" s="54" t="s">
        <v>150</v>
      </c>
      <c r="G31" s="54">
        <v>37.94</v>
      </c>
      <c r="H31" s="54">
        <v>5</v>
      </c>
      <c r="I31" s="54">
        <v>2.5</v>
      </c>
      <c r="J31" s="54">
        <v>0</v>
      </c>
      <c r="K31" s="54">
        <v>14</v>
      </c>
      <c r="N31" t="s">
        <v>161</v>
      </c>
    </row>
    <row r="32" spans="2:14" x14ac:dyDescent="0.25">
      <c r="B32" t="s">
        <v>161</v>
      </c>
      <c r="C32" s="58" t="s">
        <v>197</v>
      </c>
      <c r="D32" s="59" t="s">
        <v>150</v>
      </c>
      <c r="E32" s="57" t="s">
        <v>198</v>
      </c>
      <c r="F32" s="54" t="s">
        <v>150</v>
      </c>
      <c r="G32" s="54">
        <v>37.94</v>
      </c>
      <c r="H32" s="54">
        <v>5</v>
      </c>
      <c r="I32" s="54">
        <v>2.5</v>
      </c>
      <c r="J32" s="54">
        <v>0</v>
      </c>
      <c r="K32" s="54">
        <v>14</v>
      </c>
      <c r="N32" t="s">
        <v>161</v>
      </c>
    </row>
    <row r="33" spans="2:14" x14ac:dyDescent="0.25">
      <c r="B33" t="s">
        <v>161</v>
      </c>
      <c r="C33" s="58" t="s">
        <v>199</v>
      </c>
      <c r="D33" s="59" t="s">
        <v>150</v>
      </c>
      <c r="E33" s="57" t="s">
        <v>200</v>
      </c>
      <c r="F33" s="54" t="s">
        <v>150</v>
      </c>
      <c r="G33" s="54">
        <v>30.18</v>
      </c>
      <c r="H33" s="54">
        <v>5</v>
      </c>
      <c r="I33" s="54">
        <v>2.5</v>
      </c>
      <c r="J33" s="54">
        <v>0</v>
      </c>
      <c r="K33" s="54">
        <v>14</v>
      </c>
      <c r="N33" t="s">
        <v>161</v>
      </c>
    </row>
    <row r="34" spans="2:14" x14ac:dyDescent="0.25">
      <c r="B34" t="s">
        <v>161</v>
      </c>
      <c r="C34" s="58" t="s">
        <v>201</v>
      </c>
      <c r="D34" s="59" t="s">
        <v>150</v>
      </c>
      <c r="E34" s="57" t="s">
        <v>202</v>
      </c>
      <c r="F34" s="54" t="s">
        <v>150</v>
      </c>
      <c r="G34" s="54">
        <v>34.64</v>
      </c>
      <c r="H34" s="54">
        <v>5</v>
      </c>
      <c r="I34" s="54">
        <v>2.5</v>
      </c>
      <c r="J34" s="54">
        <v>0</v>
      </c>
      <c r="K34" s="54">
        <v>14</v>
      </c>
      <c r="N34" t="s">
        <v>161</v>
      </c>
    </row>
    <row r="35" spans="2:14" x14ac:dyDescent="0.25">
      <c r="B35" t="s">
        <v>161</v>
      </c>
      <c r="C35" s="58" t="s">
        <v>203</v>
      </c>
      <c r="D35" s="59" t="s">
        <v>150</v>
      </c>
      <c r="E35" s="57" t="s">
        <v>204</v>
      </c>
      <c r="F35" s="54" t="s">
        <v>150</v>
      </c>
      <c r="G35" s="54">
        <v>34.86</v>
      </c>
      <c r="H35" s="54">
        <v>5</v>
      </c>
      <c r="I35" s="54">
        <v>2.5</v>
      </c>
      <c r="J35" s="54">
        <v>0</v>
      </c>
      <c r="K35" s="54">
        <v>14</v>
      </c>
      <c r="N35" t="s">
        <v>161</v>
      </c>
    </row>
    <row r="36" spans="2:14" x14ac:dyDescent="0.25">
      <c r="B36" t="s">
        <v>161</v>
      </c>
      <c r="C36" s="58" t="s">
        <v>205</v>
      </c>
      <c r="D36" s="59" t="s">
        <v>150</v>
      </c>
      <c r="E36" s="57" t="s">
        <v>206</v>
      </c>
      <c r="F36" s="54" t="s">
        <v>150</v>
      </c>
      <c r="G36" s="54">
        <v>35.1</v>
      </c>
      <c r="H36" s="54">
        <v>5</v>
      </c>
      <c r="I36" s="54">
        <v>2.5</v>
      </c>
      <c r="J36" s="54">
        <v>0</v>
      </c>
      <c r="K36" s="54">
        <v>14</v>
      </c>
      <c r="N36" t="s">
        <v>161</v>
      </c>
    </row>
    <row r="37" spans="2:14" x14ac:dyDescent="0.25">
      <c r="B37" t="s">
        <v>1528</v>
      </c>
      <c r="C37" s="58" t="s">
        <v>207</v>
      </c>
      <c r="D37" s="59" t="s">
        <v>1526</v>
      </c>
      <c r="E37" s="57" t="s">
        <v>208</v>
      </c>
      <c r="F37" s="54" t="s">
        <v>150</v>
      </c>
      <c r="G37" s="54">
        <v>35.64</v>
      </c>
      <c r="H37" s="54">
        <v>5</v>
      </c>
      <c r="I37" s="54">
        <v>2.5</v>
      </c>
      <c r="J37" s="54">
        <v>0</v>
      </c>
      <c r="K37" s="54">
        <v>14</v>
      </c>
      <c r="N37" t="s">
        <v>161</v>
      </c>
    </row>
    <row r="38" spans="2:14" x14ac:dyDescent="0.25">
      <c r="B38" t="s">
        <v>1528</v>
      </c>
      <c r="C38" s="58" t="s">
        <v>209</v>
      </c>
      <c r="D38" s="59" t="s">
        <v>1526</v>
      </c>
      <c r="E38" s="57" t="s">
        <v>210</v>
      </c>
      <c r="F38" s="54" t="s">
        <v>150</v>
      </c>
      <c r="G38" s="54">
        <v>35.630000000000003</v>
      </c>
      <c r="H38" s="54">
        <v>5</v>
      </c>
      <c r="I38" s="54">
        <v>2.5</v>
      </c>
      <c r="J38" s="54">
        <v>0</v>
      </c>
      <c r="K38" s="54">
        <v>14</v>
      </c>
      <c r="N38" t="s">
        <v>161</v>
      </c>
    </row>
    <row r="39" spans="2:14" x14ac:dyDescent="0.25">
      <c r="B39" t="s">
        <v>1527</v>
      </c>
      <c r="C39" s="58" t="s">
        <v>211</v>
      </c>
      <c r="D39" s="59" t="s">
        <v>155</v>
      </c>
      <c r="E39" s="57" t="s">
        <v>212</v>
      </c>
      <c r="F39" s="54" t="s">
        <v>150</v>
      </c>
      <c r="G39" s="54">
        <v>45.04</v>
      </c>
      <c r="H39" s="54">
        <v>5</v>
      </c>
      <c r="I39" s="54">
        <v>2.5</v>
      </c>
      <c r="J39" s="54">
        <v>0</v>
      </c>
      <c r="K39" s="54">
        <v>14</v>
      </c>
      <c r="N39" t="s">
        <v>161</v>
      </c>
    </row>
    <row r="40" spans="2:14" x14ac:dyDescent="0.25">
      <c r="B40" t="s">
        <v>1527</v>
      </c>
      <c r="C40" s="58" t="s">
        <v>213</v>
      </c>
      <c r="D40" s="59" t="s">
        <v>155</v>
      </c>
      <c r="E40" s="57" t="s">
        <v>214</v>
      </c>
      <c r="F40" s="54" t="s">
        <v>150</v>
      </c>
      <c r="G40" s="54">
        <v>45.03</v>
      </c>
      <c r="H40" s="54">
        <v>5</v>
      </c>
      <c r="I40" s="54">
        <v>2.5</v>
      </c>
      <c r="J40" s="54">
        <v>0</v>
      </c>
      <c r="K40" s="54">
        <v>14</v>
      </c>
      <c r="N40" t="s">
        <v>161</v>
      </c>
    </row>
    <row r="41" spans="2:14" x14ac:dyDescent="0.25">
      <c r="B41" t="s">
        <v>161</v>
      </c>
      <c r="C41" s="58" t="s">
        <v>215</v>
      </c>
      <c r="D41" s="59" t="s">
        <v>150</v>
      </c>
      <c r="E41" s="57" t="s">
        <v>212</v>
      </c>
      <c r="F41" s="54" t="s">
        <v>150</v>
      </c>
      <c r="G41" s="54">
        <v>42.4</v>
      </c>
      <c r="H41" s="54">
        <v>5</v>
      </c>
      <c r="I41" s="54">
        <v>2.5</v>
      </c>
      <c r="J41" s="54">
        <v>0</v>
      </c>
      <c r="K41" s="54">
        <v>14</v>
      </c>
      <c r="N41" t="s">
        <v>161</v>
      </c>
    </row>
    <row r="42" spans="2:14" x14ac:dyDescent="0.25">
      <c r="B42" t="s">
        <v>161</v>
      </c>
      <c r="C42" s="58" t="s">
        <v>216</v>
      </c>
      <c r="D42" s="59" t="s">
        <v>150</v>
      </c>
      <c r="E42" s="57" t="s">
        <v>214</v>
      </c>
      <c r="F42" s="54" t="s">
        <v>150</v>
      </c>
      <c r="G42" s="54">
        <v>42.4</v>
      </c>
      <c r="H42" s="54">
        <v>5</v>
      </c>
      <c r="I42" s="54">
        <v>2.5</v>
      </c>
      <c r="J42" s="54">
        <v>0</v>
      </c>
      <c r="K42" s="54">
        <v>14</v>
      </c>
      <c r="N42" t="s">
        <v>161</v>
      </c>
    </row>
    <row r="43" spans="2:14" x14ac:dyDescent="0.25">
      <c r="B43" t="s">
        <v>161</v>
      </c>
      <c r="C43" s="58" t="s">
        <v>217</v>
      </c>
      <c r="D43" s="59" t="s">
        <v>150</v>
      </c>
      <c r="E43" s="57" t="s">
        <v>218</v>
      </c>
      <c r="F43" s="54" t="s">
        <v>150</v>
      </c>
      <c r="G43" s="54">
        <v>22.43</v>
      </c>
      <c r="H43" s="54">
        <v>5</v>
      </c>
      <c r="I43" s="54">
        <v>2.5</v>
      </c>
      <c r="J43" s="54">
        <v>0</v>
      </c>
      <c r="K43" s="54">
        <v>14</v>
      </c>
      <c r="N43" t="s">
        <v>161</v>
      </c>
    </row>
    <row r="44" spans="2:14" x14ac:dyDescent="0.25">
      <c r="B44" t="s">
        <v>161</v>
      </c>
      <c r="C44" s="58" t="s">
        <v>219</v>
      </c>
      <c r="D44" s="59" t="s">
        <v>150</v>
      </c>
      <c r="E44" s="57" t="s">
        <v>220</v>
      </c>
      <c r="F44" s="54" t="s">
        <v>150</v>
      </c>
      <c r="G44" s="54">
        <v>19.14</v>
      </c>
      <c r="H44" s="54">
        <v>5</v>
      </c>
      <c r="I44" s="54">
        <v>2.5</v>
      </c>
      <c r="J44" s="54">
        <v>0</v>
      </c>
      <c r="K44" s="54">
        <v>14</v>
      </c>
      <c r="N44" t="s">
        <v>161</v>
      </c>
    </row>
    <row r="45" spans="2:14" x14ac:dyDescent="0.25">
      <c r="B45" t="s">
        <v>161</v>
      </c>
      <c r="C45" s="58" t="s">
        <v>221</v>
      </c>
      <c r="D45" s="59" t="s">
        <v>150</v>
      </c>
      <c r="E45" s="57" t="s">
        <v>222</v>
      </c>
      <c r="F45" s="54" t="s">
        <v>150</v>
      </c>
      <c r="G45" s="54">
        <v>16.45</v>
      </c>
      <c r="H45" s="54">
        <v>5</v>
      </c>
      <c r="I45" s="54">
        <v>2.5</v>
      </c>
      <c r="J45" s="54">
        <v>0</v>
      </c>
      <c r="K45" s="54">
        <v>14</v>
      </c>
      <c r="N45" t="s">
        <v>161</v>
      </c>
    </row>
    <row r="46" spans="2:14" x14ac:dyDescent="0.25">
      <c r="B46" t="s">
        <v>161</v>
      </c>
      <c r="C46" s="58" t="s">
        <v>223</v>
      </c>
      <c r="D46" s="59" t="s">
        <v>150</v>
      </c>
      <c r="E46" s="57" t="s">
        <v>224</v>
      </c>
      <c r="F46" s="54" t="s">
        <v>150</v>
      </c>
      <c r="G46" s="54">
        <v>16.149999999999999</v>
      </c>
      <c r="H46" s="54">
        <v>5</v>
      </c>
      <c r="I46" s="54">
        <v>2.5</v>
      </c>
      <c r="J46" s="54">
        <v>0</v>
      </c>
      <c r="K46" s="54">
        <v>14</v>
      </c>
      <c r="N46" t="s">
        <v>161</v>
      </c>
    </row>
    <row r="47" spans="2:14" x14ac:dyDescent="0.25">
      <c r="B47" t="s">
        <v>161</v>
      </c>
      <c r="C47" s="58" t="s">
        <v>225</v>
      </c>
      <c r="D47" s="59" t="s">
        <v>150</v>
      </c>
      <c r="E47" s="57" t="s">
        <v>226</v>
      </c>
      <c r="F47" s="54" t="s">
        <v>150</v>
      </c>
      <c r="G47" s="54">
        <v>35.17</v>
      </c>
      <c r="H47" s="54">
        <v>5</v>
      </c>
      <c r="I47" s="54">
        <v>2.5</v>
      </c>
      <c r="J47" s="54">
        <v>0</v>
      </c>
      <c r="K47" s="54">
        <v>14</v>
      </c>
      <c r="N47" t="s">
        <v>161</v>
      </c>
    </row>
    <row r="48" spans="2:14" x14ac:dyDescent="0.25">
      <c r="B48" t="s">
        <v>161</v>
      </c>
      <c r="C48" s="58" t="s">
        <v>227</v>
      </c>
      <c r="D48" s="59" t="s">
        <v>150</v>
      </c>
      <c r="E48" s="57" t="s">
        <v>228</v>
      </c>
      <c r="F48" s="54" t="s">
        <v>150</v>
      </c>
      <c r="G48" s="54">
        <v>35.17</v>
      </c>
      <c r="H48" s="54">
        <v>5</v>
      </c>
      <c r="I48" s="54">
        <v>2.5</v>
      </c>
      <c r="J48" s="54">
        <v>0</v>
      </c>
      <c r="K48" s="54">
        <v>14</v>
      </c>
      <c r="N48" t="s">
        <v>161</v>
      </c>
    </row>
    <row r="49" spans="2:14" x14ac:dyDescent="0.25">
      <c r="B49" t="s">
        <v>161</v>
      </c>
      <c r="C49" s="58" t="s">
        <v>229</v>
      </c>
      <c r="D49" s="59" t="s">
        <v>150</v>
      </c>
      <c r="E49" s="57" t="s">
        <v>230</v>
      </c>
      <c r="F49" s="54" t="s">
        <v>150</v>
      </c>
      <c r="G49" s="54">
        <v>33.58</v>
      </c>
      <c r="H49" s="54">
        <v>5</v>
      </c>
      <c r="I49" s="54">
        <v>2.5</v>
      </c>
      <c r="J49" s="54">
        <v>0</v>
      </c>
      <c r="K49" s="54">
        <v>14</v>
      </c>
      <c r="N49" t="s">
        <v>161</v>
      </c>
    </row>
    <row r="50" spans="2:14" x14ac:dyDescent="0.25">
      <c r="B50" t="s">
        <v>161</v>
      </c>
      <c r="C50" s="58" t="s">
        <v>231</v>
      </c>
      <c r="D50" s="59" t="s">
        <v>150</v>
      </c>
      <c r="E50" s="57" t="s">
        <v>232</v>
      </c>
      <c r="F50" s="54" t="s">
        <v>150</v>
      </c>
      <c r="G50" s="54">
        <v>33.630000000000003</v>
      </c>
      <c r="H50" s="54">
        <v>5</v>
      </c>
      <c r="I50" s="54">
        <v>2.5</v>
      </c>
      <c r="J50" s="54">
        <v>0</v>
      </c>
      <c r="K50" s="54">
        <v>14</v>
      </c>
      <c r="N50" t="s">
        <v>161</v>
      </c>
    </row>
    <row r="51" spans="2:14" x14ac:dyDescent="0.25">
      <c r="B51" t="s">
        <v>161</v>
      </c>
      <c r="C51" s="58" t="s">
        <v>233</v>
      </c>
      <c r="D51" s="59" t="s">
        <v>150</v>
      </c>
      <c r="E51" s="57" t="s">
        <v>234</v>
      </c>
      <c r="F51" s="54" t="s">
        <v>150</v>
      </c>
      <c r="G51" s="54">
        <v>23.25</v>
      </c>
      <c r="H51" s="54">
        <v>5</v>
      </c>
      <c r="I51" s="54">
        <v>2.5</v>
      </c>
      <c r="J51" s="54">
        <v>0</v>
      </c>
      <c r="K51" s="54">
        <v>14</v>
      </c>
      <c r="N51" t="s">
        <v>161</v>
      </c>
    </row>
    <row r="52" spans="2:14" x14ac:dyDescent="0.25">
      <c r="B52" t="s">
        <v>161</v>
      </c>
      <c r="C52" s="58" t="s">
        <v>235</v>
      </c>
      <c r="D52" s="59" t="s">
        <v>150</v>
      </c>
      <c r="E52" s="57" t="s">
        <v>236</v>
      </c>
      <c r="F52" s="54" t="s">
        <v>150</v>
      </c>
      <c r="G52" s="54">
        <v>24.47</v>
      </c>
      <c r="H52" s="54">
        <v>5</v>
      </c>
      <c r="I52" s="54">
        <v>2.5</v>
      </c>
      <c r="J52" s="54">
        <v>0</v>
      </c>
      <c r="K52" s="54">
        <v>14</v>
      </c>
      <c r="N52" t="s">
        <v>161</v>
      </c>
    </row>
    <row r="53" spans="2:14" x14ac:dyDescent="0.25">
      <c r="B53" t="s">
        <v>161</v>
      </c>
      <c r="C53" s="58" t="s">
        <v>237</v>
      </c>
      <c r="D53" s="59" t="s">
        <v>150</v>
      </c>
      <c r="E53" s="57" t="s">
        <v>238</v>
      </c>
      <c r="F53" s="54" t="s">
        <v>150</v>
      </c>
      <c r="G53" s="54">
        <v>19.420000000000002</v>
      </c>
      <c r="H53" s="54">
        <v>5</v>
      </c>
      <c r="I53" s="54">
        <v>2.5</v>
      </c>
      <c r="J53" s="54">
        <v>0</v>
      </c>
      <c r="K53" s="54">
        <v>14</v>
      </c>
      <c r="N53" t="s">
        <v>161</v>
      </c>
    </row>
    <row r="54" spans="2:14" x14ac:dyDescent="0.25">
      <c r="B54" t="s">
        <v>161</v>
      </c>
      <c r="C54" s="58" t="s">
        <v>239</v>
      </c>
      <c r="D54" s="59" t="s">
        <v>150</v>
      </c>
      <c r="E54" s="57" t="s">
        <v>240</v>
      </c>
      <c r="F54" s="54" t="s">
        <v>150</v>
      </c>
      <c r="G54" s="54">
        <v>18.27</v>
      </c>
      <c r="H54" s="54">
        <v>5</v>
      </c>
      <c r="I54" s="54">
        <v>2.5</v>
      </c>
      <c r="J54" s="54">
        <v>0</v>
      </c>
      <c r="K54" s="54">
        <v>14</v>
      </c>
      <c r="N54" t="s">
        <v>161</v>
      </c>
    </row>
    <row r="55" spans="2:14" x14ac:dyDescent="0.25">
      <c r="B55" t="s">
        <v>161</v>
      </c>
      <c r="C55" s="58" t="s">
        <v>241</v>
      </c>
      <c r="D55" s="59" t="s">
        <v>150</v>
      </c>
      <c r="E55" s="57" t="s">
        <v>172</v>
      </c>
      <c r="F55" s="54" t="s">
        <v>150</v>
      </c>
      <c r="G55" s="54">
        <v>35.6</v>
      </c>
      <c r="H55" s="54">
        <v>5</v>
      </c>
      <c r="I55" s="54">
        <v>2.5</v>
      </c>
      <c r="J55" s="54">
        <v>0</v>
      </c>
      <c r="K55" s="54">
        <v>14</v>
      </c>
      <c r="N55" t="s">
        <v>161</v>
      </c>
    </row>
    <row r="56" spans="2:14" x14ac:dyDescent="0.25">
      <c r="B56" t="s">
        <v>161</v>
      </c>
      <c r="C56" s="58" t="s">
        <v>242</v>
      </c>
      <c r="D56" s="59" t="s">
        <v>150</v>
      </c>
      <c r="E56" s="57" t="s">
        <v>174</v>
      </c>
      <c r="F56" s="54" t="s">
        <v>150</v>
      </c>
      <c r="G56" s="54">
        <v>35.6</v>
      </c>
      <c r="H56" s="54">
        <v>5</v>
      </c>
      <c r="I56" s="54">
        <v>2.5</v>
      </c>
      <c r="J56" s="54">
        <v>0</v>
      </c>
      <c r="K56" s="54">
        <v>14</v>
      </c>
      <c r="N56" t="s">
        <v>161</v>
      </c>
    </row>
    <row r="57" spans="2:14" x14ac:dyDescent="0.25">
      <c r="B57" t="s">
        <v>161</v>
      </c>
      <c r="C57" s="58" t="s">
        <v>243</v>
      </c>
      <c r="D57" s="59" t="s">
        <v>150</v>
      </c>
      <c r="E57" s="57" t="s">
        <v>244</v>
      </c>
      <c r="F57" s="54" t="s">
        <v>150</v>
      </c>
      <c r="G57" s="54">
        <v>34.299999999999997</v>
      </c>
      <c r="H57" s="54">
        <v>5</v>
      </c>
      <c r="I57" s="54">
        <v>2.5</v>
      </c>
      <c r="J57" s="54">
        <v>0</v>
      </c>
      <c r="K57" s="54">
        <v>14</v>
      </c>
      <c r="N57" t="s">
        <v>161</v>
      </c>
    </row>
    <row r="58" spans="2:14" x14ac:dyDescent="0.25">
      <c r="B58" t="s">
        <v>161</v>
      </c>
      <c r="C58" s="58" t="s">
        <v>245</v>
      </c>
      <c r="D58" s="59" t="s">
        <v>150</v>
      </c>
      <c r="E58" s="57" t="s">
        <v>246</v>
      </c>
      <c r="F58" s="54" t="s">
        <v>150</v>
      </c>
      <c r="G58" s="54">
        <v>34.299999999999997</v>
      </c>
      <c r="H58" s="54">
        <v>5</v>
      </c>
      <c r="I58" s="54">
        <v>2.5</v>
      </c>
      <c r="J58" s="54">
        <v>0</v>
      </c>
      <c r="K58" s="54">
        <v>14</v>
      </c>
      <c r="N58" t="s">
        <v>161</v>
      </c>
    </row>
    <row r="59" spans="2:14" x14ac:dyDescent="0.25">
      <c r="B59" t="s">
        <v>161</v>
      </c>
      <c r="C59" s="58" t="s">
        <v>247</v>
      </c>
      <c r="D59" s="59" t="s">
        <v>150</v>
      </c>
      <c r="E59" s="57" t="s">
        <v>234</v>
      </c>
      <c r="F59" s="54" t="s">
        <v>150</v>
      </c>
      <c r="G59" s="54">
        <v>24.53</v>
      </c>
      <c r="H59" s="54">
        <v>5</v>
      </c>
      <c r="I59" s="54">
        <v>2.5</v>
      </c>
      <c r="J59" s="54">
        <v>0</v>
      </c>
      <c r="K59" s="54">
        <v>14</v>
      </c>
      <c r="N59" t="s">
        <v>161</v>
      </c>
    </row>
    <row r="60" spans="2:14" x14ac:dyDescent="0.25">
      <c r="B60" t="s">
        <v>161</v>
      </c>
      <c r="C60" s="58" t="s">
        <v>248</v>
      </c>
      <c r="D60" s="59" t="s">
        <v>150</v>
      </c>
      <c r="E60" s="57" t="s">
        <v>236</v>
      </c>
      <c r="F60" s="54" t="s">
        <v>150</v>
      </c>
      <c r="G60" s="54">
        <v>23.15</v>
      </c>
      <c r="H60" s="54">
        <v>5</v>
      </c>
      <c r="I60" s="54">
        <v>2.5</v>
      </c>
      <c r="J60" s="54">
        <v>0</v>
      </c>
      <c r="K60" s="54">
        <v>14</v>
      </c>
      <c r="N60" t="s">
        <v>161</v>
      </c>
    </row>
    <row r="61" spans="2:14" x14ac:dyDescent="0.25">
      <c r="B61" t="s">
        <v>161</v>
      </c>
      <c r="C61" s="58" t="s">
        <v>249</v>
      </c>
      <c r="D61" s="59" t="s">
        <v>150</v>
      </c>
      <c r="E61" s="57" t="s">
        <v>250</v>
      </c>
      <c r="F61" s="54" t="s">
        <v>150</v>
      </c>
      <c r="G61" s="54">
        <v>21.95</v>
      </c>
      <c r="H61" s="54">
        <v>5</v>
      </c>
      <c r="I61" s="54">
        <v>2.5</v>
      </c>
      <c r="J61" s="54">
        <v>0</v>
      </c>
      <c r="K61" s="54">
        <v>14</v>
      </c>
      <c r="N61" t="s">
        <v>161</v>
      </c>
    </row>
    <row r="62" spans="2:14" x14ac:dyDescent="0.25">
      <c r="B62" t="s">
        <v>161</v>
      </c>
      <c r="C62" s="58" t="s">
        <v>251</v>
      </c>
      <c r="D62" s="59" t="s">
        <v>150</v>
      </c>
      <c r="E62" s="57" t="s">
        <v>252</v>
      </c>
      <c r="F62" s="54" t="s">
        <v>150</v>
      </c>
      <c r="G62" s="54">
        <v>27.7</v>
      </c>
      <c r="H62" s="54">
        <v>5</v>
      </c>
      <c r="I62" s="54">
        <v>2.5</v>
      </c>
      <c r="J62" s="54">
        <v>0</v>
      </c>
      <c r="K62" s="54">
        <v>14</v>
      </c>
      <c r="N62" t="s">
        <v>161</v>
      </c>
    </row>
    <row r="63" spans="2:14" x14ac:dyDescent="0.25">
      <c r="B63" t="s">
        <v>161</v>
      </c>
      <c r="C63" s="58" t="s">
        <v>253</v>
      </c>
      <c r="D63" s="59" t="s">
        <v>150</v>
      </c>
      <c r="E63" s="57" t="s">
        <v>254</v>
      </c>
      <c r="F63" s="54" t="s">
        <v>150</v>
      </c>
      <c r="G63" s="54">
        <v>28.9</v>
      </c>
      <c r="H63" s="54">
        <v>5</v>
      </c>
      <c r="I63" s="54">
        <v>2.5</v>
      </c>
      <c r="J63" s="54">
        <v>0</v>
      </c>
      <c r="K63" s="54">
        <v>14</v>
      </c>
      <c r="N63" t="s">
        <v>161</v>
      </c>
    </row>
    <row r="64" spans="2:14" x14ac:dyDescent="0.25">
      <c r="B64" t="s">
        <v>161</v>
      </c>
      <c r="C64" s="58" t="s">
        <v>255</v>
      </c>
      <c r="D64" s="59" t="s">
        <v>150</v>
      </c>
      <c r="E64" s="57" t="s">
        <v>256</v>
      </c>
      <c r="F64" s="54" t="s">
        <v>150</v>
      </c>
      <c r="G64" s="54">
        <v>28.9</v>
      </c>
      <c r="H64" s="54">
        <v>5</v>
      </c>
      <c r="I64" s="54">
        <v>2.5</v>
      </c>
      <c r="J64" s="54">
        <v>0</v>
      </c>
      <c r="K64" s="54">
        <v>14</v>
      </c>
      <c r="N64" t="s">
        <v>161</v>
      </c>
    </row>
    <row r="65" spans="2:14" x14ac:dyDescent="0.25">
      <c r="B65" t="s">
        <v>161</v>
      </c>
      <c r="C65" s="58" t="s">
        <v>257</v>
      </c>
      <c r="D65" s="59" t="s">
        <v>150</v>
      </c>
      <c r="E65" s="57" t="s">
        <v>258</v>
      </c>
      <c r="F65" s="54" t="s">
        <v>150</v>
      </c>
      <c r="G65" s="54">
        <v>29.19</v>
      </c>
      <c r="H65" s="54">
        <v>5</v>
      </c>
      <c r="I65" s="54">
        <v>2.5</v>
      </c>
      <c r="J65" s="54">
        <v>25.9</v>
      </c>
      <c r="K65" s="54">
        <v>14</v>
      </c>
      <c r="N65" t="s">
        <v>161</v>
      </c>
    </row>
    <row r="66" spans="2:14" x14ac:dyDescent="0.25">
      <c r="B66" t="s">
        <v>161</v>
      </c>
      <c r="C66" s="58" t="s">
        <v>259</v>
      </c>
      <c r="D66" s="59" t="s">
        <v>150</v>
      </c>
      <c r="E66" s="57" t="s">
        <v>260</v>
      </c>
      <c r="F66" s="54" t="s">
        <v>150</v>
      </c>
      <c r="G66" s="54">
        <v>29.24</v>
      </c>
      <c r="H66" s="54">
        <v>5</v>
      </c>
      <c r="I66" s="54">
        <v>2.5</v>
      </c>
      <c r="J66" s="54">
        <v>12.2</v>
      </c>
      <c r="K66" s="54">
        <v>14</v>
      </c>
      <c r="N66" t="s">
        <v>161</v>
      </c>
    </row>
    <row r="67" spans="2:14" x14ac:dyDescent="0.25">
      <c r="B67" t="s">
        <v>161</v>
      </c>
      <c r="C67" s="58" t="s">
        <v>261</v>
      </c>
      <c r="D67" s="59" t="s">
        <v>150</v>
      </c>
      <c r="E67" s="57" t="s">
        <v>262</v>
      </c>
      <c r="F67" s="54" t="s">
        <v>150</v>
      </c>
      <c r="G67" s="54">
        <v>26.5</v>
      </c>
      <c r="H67" s="54">
        <v>5</v>
      </c>
      <c r="I67" s="54">
        <v>2.5</v>
      </c>
      <c r="J67" s="54">
        <v>0</v>
      </c>
      <c r="K67" s="54">
        <v>14</v>
      </c>
      <c r="N67" t="s">
        <v>161</v>
      </c>
    </row>
    <row r="68" spans="2:14" x14ac:dyDescent="0.25">
      <c r="B68" t="s">
        <v>161</v>
      </c>
      <c r="C68" s="58" t="s">
        <v>263</v>
      </c>
      <c r="D68" s="59" t="s">
        <v>150</v>
      </c>
      <c r="E68" s="57" t="s">
        <v>264</v>
      </c>
      <c r="F68" s="54" t="s">
        <v>150</v>
      </c>
      <c r="G68" s="54">
        <v>27.43</v>
      </c>
      <c r="H68" s="54">
        <v>5</v>
      </c>
      <c r="I68" s="54">
        <v>2.5</v>
      </c>
      <c r="J68" s="54">
        <v>0</v>
      </c>
      <c r="K68" s="54">
        <v>14</v>
      </c>
      <c r="N68" t="s">
        <v>161</v>
      </c>
    </row>
    <row r="69" spans="2:14" x14ac:dyDescent="0.25">
      <c r="B69" t="s">
        <v>161</v>
      </c>
      <c r="C69" s="58" t="s">
        <v>265</v>
      </c>
      <c r="D69" s="59" t="s">
        <v>150</v>
      </c>
      <c r="E69" s="57" t="s">
        <v>172</v>
      </c>
      <c r="F69" s="54" t="s">
        <v>150</v>
      </c>
      <c r="G69" s="54">
        <v>37.729999999999997</v>
      </c>
      <c r="H69" s="54">
        <v>5</v>
      </c>
      <c r="I69" s="54">
        <v>2.5</v>
      </c>
      <c r="J69" s="54">
        <v>0</v>
      </c>
      <c r="K69" s="54">
        <v>14</v>
      </c>
      <c r="N69" t="s">
        <v>161</v>
      </c>
    </row>
    <row r="70" spans="2:14" x14ac:dyDescent="0.25">
      <c r="B70" t="s">
        <v>161</v>
      </c>
      <c r="C70" s="58" t="s">
        <v>266</v>
      </c>
      <c r="D70" s="59" t="s">
        <v>150</v>
      </c>
      <c r="E70" s="57" t="s">
        <v>174</v>
      </c>
      <c r="F70" s="54" t="s">
        <v>150</v>
      </c>
      <c r="G70" s="54">
        <v>37.729999999999997</v>
      </c>
      <c r="H70" s="54">
        <v>5</v>
      </c>
      <c r="I70" s="54">
        <v>2.5</v>
      </c>
      <c r="J70" s="54">
        <v>0</v>
      </c>
      <c r="K70" s="54">
        <v>14</v>
      </c>
      <c r="N70" t="s">
        <v>161</v>
      </c>
    </row>
    <row r="71" spans="2:14" x14ac:dyDescent="0.25">
      <c r="B71" t="s">
        <v>161</v>
      </c>
      <c r="C71" s="58" t="s">
        <v>267</v>
      </c>
      <c r="D71" s="59" t="s">
        <v>150</v>
      </c>
      <c r="E71" s="57" t="s">
        <v>268</v>
      </c>
      <c r="F71" s="54" t="s">
        <v>150</v>
      </c>
      <c r="G71" s="54">
        <v>34.25</v>
      </c>
      <c r="H71" s="54">
        <v>5</v>
      </c>
      <c r="I71" s="54">
        <v>2.5</v>
      </c>
      <c r="J71" s="54">
        <v>0</v>
      </c>
      <c r="K71" s="54">
        <v>14</v>
      </c>
      <c r="N71" t="s">
        <v>161</v>
      </c>
    </row>
    <row r="72" spans="2:14" x14ac:dyDescent="0.25">
      <c r="B72" t="s">
        <v>161</v>
      </c>
      <c r="C72" s="58" t="s">
        <v>269</v>
      </c>
      <c r="D72" s="59" t="s">
        <v>150</v>
      </c>
      <c r="E72" s="57" t="s">
        <v>270</v>
      </c>
      <c r="F72" s="54" t="s">
        <v>150</v>
      </c>
      <c r="G72" s="54">
        <v>34.24</v>
      </c>
      <c r="H72" s="54">
        <v>5</v>
      </c>
      <c r="I72" s="54">
        <v>2.5</v>
      </c>
      <c r="J72" s="54">
        <v>0</v>
      </c>
      <c r="K72" s="54">
        <v>14</v>
      </c>
      <c r="N72" t="s">
        <v>161</v>
      </c>
    </row>
    <row r="73" spans="2:14" x14ac:dyDescent="0.25">
      <c r="B73" t="s">
        <v>161</v>
      </c>
      <c r="C73" s="58" t="s">
        <v>271</v>
      </c>
      <c r="D73" s="59" t="s">
        <v>150</v>
      </c>
      <c r="E73" s="57" t="s">
        <v>272</v>
      </c>
      <c r="F73" s="54" t="s">
        <v>150</v>
      </c>
      <c r="G73" s="54">
        <v>22.71</v>
      </c>
      <c r="H73" s="54">
        <v>5</v>
      </c>
      <c r="I73" s="54">
        <v>2.5</v>
      </c>
      <c r="J73" s="54">
        <v>0</v>
      </c>
      <c r="K73" s="54">
        <v>14</v>
      </c>
      <c r="N73" t="s">
        <v>161</v>
      </c>
    </row>
    <row r="74" spans="2:14" x14ac:dyDescent="0.25">
      <c r="B74" t="s">
        <v>161</v>
      </c>
      <c r="C74" s="58" t="s">
        <v>273</v>
      </c>
      <c r="D74" s="59" t="s">
        <v>150</v>
      </c>
      <c r="E74" s="57" t="s">
        <v>274</v>
      </c>
      <c r="F74" s="54" t="s">
        <v>150</v>
      </c>
      <c r="G74" s="54">
        <v>22.97</v>
      </c>
      <c r="H74" s="54">
        <v>5</v>
      </c>
      <c r="I74" s="54">
        <v>2.5</v>
      </c>
      <c r="J74" s="54">
        <v>0</v>
      </c>
      <c r="K74" s="54">
        <v>14</v>
      </c>
      <c r="N74" t="s">
        <v>161</v>
      </c>
    </row>
    <row r="75" spans="2:14" x14ac:dyDescent="0.25">
      <c r="B75" t="s">
        <v>161</v>
      </c>
      <c r="C75" s="58" t="s">
        <v>275</v>
      </c>
      <c r="D75" s="59" t="s">
        <v>150</v>
      </c>
      <c r="E75" s="57" t="s">
        <v>276</v>
      </c>
      <c r="F75" s="54" t="s">
        <v>150</v>
      </c>
      <c r="G75" s="54">
        <v>27.82</v>
      </c>
      <c r="H75" s="54">
        <v>5</v>
      </c>
      <c r="I75" s="54">
        <v>2.5</v>
      </c>
      <c r="J75" s="54">
        <v>0</v>
      </c>
      <c r="K75" s="54">
        <v>14</v>
      </c>
      <c r="N75" t="s">
        <v>161</v>
      </c>
    </row>
    <row r="76" spans="2:14" x14ac:dyDescent="0.25">
      <c r="B76" t="s">
        <v>161</v>
      </c>
      <c r="C76" s="58" t="s">
        <v>277</v>
      </c>
      <c r="D76" s="59" t="s">
        <v>150</v>
      </c>
      <c r="E76" s="57" t="s">
        <v>278</v>
      </c>
      <c r="F76" s="54" t="s">
        <v>150</v>
      </c>
      <c r="G76" s="54">
        <v>27.77</v>
      </c>
      <c r="H76" s="54">
        <v>5</v>
      </c>
      <c r="I76" s="54">
        <v>2.5</v>
      </c>
      <c r="J76" s="54">
        <v>0</v>
      </c>
      <c r="K76" s="54">
        <v>14</v>
      </c>
      <c r="N76" t="s">
        <v>161</v>
      </c>
    </row>
    <row r="77" spans="2:14" x14ac:dyDescent="0.25">
      <c r="B77" t="s">
        <v>161</v>
      </c>
      <c r="C77" s="58" t="s">
        <v>279</v>
      </c>
      <c r="D77" s="59" t="s">
        <v>150</v>
      </c>
      <c r="E77" s="57" t="s">
        <v>280</v>
      </c>
      <c r="F77" s="54" t="s">
        <v>150</v>
      </c>
      <c r="G77" s="54">
        <v>38.700000000000003</v>
      </c>
      <c r="H77" s="54">
        <v>5</v>
      </c>
      <c r="I77" s="54">
        <v>2.5</v>
      </c>
      <c r="J77" s="54">
        <v>0</v>
      </c>
      <c r="K77" s="54">
        <v>14</v>
      </c>
      <c r="N77" t="s">
        <v>161</v>
      </c>
    </row>
    <row r="78" spans="2:14" x14ac:dyDescent="0.25">
      <c r="B78" t="s">
        <v>161</v>
      </c>
      <c r="C78" s="58" t="s">
        <v>281</v>
      </c>
      <c r="D78" s="59" t="s">
        <v>150</v>
      </c>
      <c r="E78" s="57" t="s">
        <v>282</v>
      </c>
      <c r="F78" s="54" t="s">
        <v>150</v>
      </c>
      <c r="G78" s="54">
        <v>34.76</v>
      </c>
      <c r="H78" s="54">
        <v>5</v>
      </c>
      <c r="I78" s="54">
        <v>2.5</v>
      </c>
      <c r="J78" s="54">
        <v>0</v>
      </c>
      <c r="K78" s="54">
        <v>14</v>
      </c>
      <c r="N78" t="s">
        <v>161</v>
      </c>
    </row>
    <row r="79" spans="2:14" x14ac:dyDescent="0.25">
      <c r="B79" t="s">
        <v>161</v>
      </c>
      <c r="C79" s="58" t="s">
        <v>283</v>
      </c>
      <c r="D79" s="59" t="s">
        <v>150</v>
      </c>
      <c r="E79" s="57" t="s">
        <v>284</v>
      </c>
      <c r="F79" s="54" t="s">
        <v>150</v>
      </c>
      <c r="G79" s="54">
        <v>29.39</v>
      </c>
      <c r="H79" s="54">
        <v>5</v>
      </c>
      <c r="I79" s="54">
        <v>2.5</v>
      </c>
      <c r="J79" s="54">
        <v>0</v>
      </c>
      <c r="K79" s="54">
        <v>14</v>
      </c>
      <c r="N79" t="s">
        <v>161</v>
      </c>
    </row>
    <row r="80" spans="2:14" x14ac:dyDescent="0.25">
      <c r="B80" t="s">
        <v>161</v>
      </c>
      <c r="C80" s="58" t="s">
        <v>285</v>
      </c>
      <c r="D80" s="59" t="s">
        <v>150</v>
      </c>
      <c r="E80" s="57" t="s">
        <v>286</v>
      </c>
      <c r="F80" s="54" t="s">
        <v>150</v>
      </c>
      <c r="G80" s="54">
        <v>29.24</v>
      </c>
      <c r="H80" s="54">
        <v>5</v>
      </c>
      <c r="I80" s="54">
        <v>2.5</v>
      </c>
      <c r="J80" s="54">
        <v>0</v>
      </c>
      <c r="K80" s="54">
        <v>14</v>
      </c>
      <c r="N80" t="s">
        <v>161</v>
      </c>
    </row>
    <row r="81" spans="2:14" x14ac:dyDescent="0.25">
      <c r="B81" t="s">
        <v>161</v>
      </c>
      <c r="C81" s="58" t="s">
        <v>287</v>
      </c>
      <c r="D81" s="59" t="s">
        <v>150</v>
      </c>
      <c r="E81" s="57" t="s">
        <v>288</v>
      </c>
      <c r="F81" s="54" t="s">
        <v>150</v>
      </c>
      <c r="G81" s="54">
        <v>20.5</v>
      </c>
      <c r="H81" s="54">
        <v>5</v>
      </c>
      <c r="I81" s="54">
        <v>2.5</v>
      </c>
      <c r="J81" s="54">
        <v>0</v>
      </c>
      <c r="K81" s="54">
        <v>14</v>
      </c>
      <c r="N81" t="s">
        <v>161</v>
      </c>
    </row>
    <row r="82" spans="2:14" x14ac:dyDescent="0.25">
      <c r="B82" t="s">
        <v>161</v>
      </c>
      <c r="C82" s="58" t="s">
        <v>289</v>
      </c>
      <c r="D82" s="59" t="s">
        <v>150</v>
      </c>
      <c r="E82" s="57" t="s">
        <v>290</v>
      </c>
      <c r="F82" s="54" t="s">
        <v>150</v>
      </c>
      <c r="G82" s="54">
        <v>20.71</v>
      </c>
      <c r="H82" s="54">
        <v>5</v>
      </c>
      <c r="I82" s="54">
        <v>2.5</v>
      </c>
      <c r="J82" s="54">
        <v>0</v>
      </c>
      <c r="K82" s="54">
        <v>14</v>
      </c>
      <c r="N82" t="s">
        <v>161</v>
      </c>
    </row>
    <row r="83" spans="2:14" x14ac:dyDescent="0.25">
      <c r="B83" t="s">
        <v>161</v>
      </c>
      <c r="C83" s="58" t="s">
        <v>291</v>
      </c>
      <c r="D83" s="59" t="s">
        <v>150</v>
      </c>
      <c r="E83" s="57" t="s">
        <v>292</v>
      </c>
      <c r="F83" s="54" t="s">
        <v>150</v>
      </c>
      <c r="G83" s="54">
        <v>21.07</v>
      </c>
      <c r="H83" s="54">
        <v>5</v>
      </c>
      <c r="I83" s="54">
        <v>2.5</v>
      </c>
      <c r="J83" s="54">
        <v>0</v>
      </c>
      <c r="K83" s="54">
        <v>14</v>
      </c>
      <c r="N83" t="s">
        <v>161</v>
      </c>
    </row>
    <row r="84" spans="2:14" x14ac:dyDescent="0.25">
      <c r="B84" t="s">
        <v>161</v>
      </c>
      <c r="C84" s="58" t="s">
        <v>293</v>
      </c>
      <c r="D84" s="59" t="s">
        <v>150</v>
      </c>
      <c r="E84" s="57" t="s">
        <v>294</v>
      </c>
      <c r="F84" s="54" t="s">
        <v>150</v>
      </c>
      <c r="G84" s="54">
        <v>23.95</v>
      </c>
      <c r="H84" s="54">
        <v>5</v>
      </c>
      <c r="I84" s="54">
        <v>2.5</v>
      </c>
      <c r="J84" s="54">
        <v>0</v>
      </c>
      <c r="K84" s="54">
        <v>14</v>
      </c>
      <c r="N84" t="s">
        <v>161</v>
      </c>
    </row>
    <row r="85" spans="2:14" x14ac:dyDescent="0.25">
      <c r="B85" t="s">
        <v>161</v>
      </c>
      <c r="C85" s="58" t="s">
        <v>295</v>
      </c>
      <c r="D85" s="59" t="s">
        <v>150</v>
      </c>
      <c r="E85" s="57" t="s">
        <v>296</v>
      </c>
      <c r="F85" s="54" t="s">
        <v>150</v>
      </c>
      <c r="G85" s="54">
        <v>26.65</v>
      </c>
      <c r="H85" s="54">
        <v>5</v>
      </c>
      <c r="I85" s="54">
        <v>2.5</v>
      </c>
      <c r="J85" s="54">
        <v>0</v>
      </c>
      <c r="K85" s="54">
        <v>14</v>
      </c>
      <c r="N85" t="s">
        <v>161</v>
      </c>
    </row>
    <row r="86" spans="2:14" x14ac:dyDescent="0.25">
      <c r="B86" t="s">
        <v>161</v>
      </c>
      <c r="C86" s="58" t="s">
        <v>297</v>
      </c>
      <c r="D86" s="59" t="s">
        <v>150</v>
      </c>
      <c r="E86" s="57" t="s">
        <v>298</v>
      </c>
      <c r="F86" s="54" t="s">
        <v>150</v>
      </c>
      <c r="G86" s="54">
        <v>26.65</v>
      </c>
      <c r="H86" s="54">
        <v>5</v>
      </c>
      <c r="I86" s="54">
        <v>2.5</v>
      </c>
      <c r="J86" s="54">
        <v>0</v>
      </c>
      <c r="K86" s="54">
        <v>14</v>
      </c>
      <c r="N86" t="s">
        <v>161</v>
      </c>
    </row>
    <row r="87" spans="2:14" x14ac:dyDescent="0.25">
      <c r="B87" t="s">
        <v>161</v>
      </c>
      <c r="C87" s="58" t="s">
        <v>299</v>
      </c>
      <c r="D87" s="59" t="s">
        <v>150</v>
      </c>
      <c r="E87" s="57" t="s">
        <v>300</v>
      </c>
      <c r="F87" s="54" t="s">
        <v>150</v>
      </c>
      <c r="G87" s="54">
        <v>39.24</v>
      </c>
      <c r="H87" s="54">
        <v>5</v>
      </c>
      <c r="I87" s="54">
        <v>2.5</v>
      </c>
      <c r="J87" s="54">
        <v>0</v>
      </c>
      <c r="K87" s="54">
        <v>14</v>
      </c>
      <c r="N87" t="s">
        <v>161</v>
      </c>
    </row>
    <row r="88" spans="2:14" x14ac:dyDescent="0.25">
      <c r="B88" t="s">
        <v>161</v>
      </c>
      <c r="C88" s="58" t="s">
        <v>301</v>
      </c>
      <c r="D88" s="59" t="s">
        <v>150</v>
      </c>
      <c r="E88" s="57" t="s">
        <v>302</v>
      </c>
      <c r="F88" s="54" t="s">
        <v>150</v>
      </c>
      <c r="G88" s="54">
        <v>44.55</v>
      </c>
      <c r="H88" s="54">
        <v>5</v>
      </c>
      <c r="I88" s="54">
        <v>2.5</v>
      </c>
      <c r="J88" s="54">
        <v>0</v>
      </c>
      <c r="K88" s="54">
        <v>14</v>
      </c>
      <c r="N88" t="s">
        <v>161</v>
      </c>
    </row>
    <row r="89" spans="2:14" x14ac:dyDescent="0.25">
      <c r="B89" t="s">
        <v>161</v>
      </c>
      <c r="C89" s="58" t="s">
        <v>303</v>
      </c>
      <c r="D89" s="59" t="s">
        <v>150</v>
      </c>
      <c r="E89" s="57" t="s">
        <v>304</v>
      </c>
      <c r="F89" s="54" t="s">
        <v>150</v>
      </c>
      <c r="G89" s="54">
        <v>23.96</v>
      </c>
      <c r="H89" s="54">
        <v>5</v>
      </c>
      <c r="I89" s="54">
        <v>2.5</v>
      </c>
      <c r="J89" s="54">
        <v>0</v>
      </c>
      <c r="K89" s="54">
        <v>14</v>
      </c>
      <c r="N89" t="s">
        <v>161</v>
      </c>
    </row>
    <row r="90" spans="2:14" x14ac:dyDescent="0.25">
      <c r="B90" t="s">
        <v>161</v>
      </c>
      <c r="C90" s="58" t="s">
        <v>305</v>
      </c>
      <c r="D90" s="59" t="s">
        <v>150</v>
      </c>
      <c r="E90" s="57" t="s">
        <v>306</v>
      </c>
      <c r="F90" s="54" t="s">
        <v>150</v>
      </c>
      <c r="G90" s="54">
        <v>27.48</v>
      </c>
      <c r="H90" s="54">
        <v>5</v>
      </c>
      <c r="I90" s="54">
        <v>2.5</v>
      </c>
      <c r="J90" s="54">
        <v>0</v>
      </c>
      <c r="K90" s="54">
        <v>14</v>
      </c>
      <c r="N90" t="s">
        <v>161</v>
      </c>
    </row>
    <row r="91" spans="2:14" x14ac:dyDescent="0.25">
      <c r="B91" t="s">
        <v>161</v>
      </c>
      <c r="C91" s="58" t="s">
        <v>307</v>
      </c>
      <c r="D91" s="59" t="s">
        <v>150</v>
      </c>
      <c r="E91" s="57" t="s">
        <v>308</v>
      </c>
      <c r="F91" s="54" t="s">
        <v>150</v>
      </c>
      <c r="G91" s="54">
        <v>24.98</v>
      </c>
      <c r="H91" s="54">
        <v>5</v>
      </c>
      <c r="I91" s="54">
        <v>2.5</v>
      </c>
      <c r="J91" s="54">
        <v>20.5</v>
      </c>
      <c r="K91" s="54">
        <v>14</v>
      </c>
      <c r="N91" t="s">
        <v>161</v>
      </c>
    </row>
    <row r="92" spans="2:14" x14ac:dyDescent="0.25">
      <c r="B92" t="s">
        <v>161</v>
      </c>
      <c r="C92" s="58" t="s">
        <v>309</v>
      </c>
      <c r="D92" s="59" t="s">
        <v>150</v>
      </c>
      <c r="E92" s="57" t="s">
        <v>310</v>
      </c>
      <c r="F92" s="54" t="s">
        <v>150</v>
      </c>
      <c r="G92" s="54">
        <v>24.98</v>
      </c>
      <c r="H92" s="54">
        <v>5</v>
      </c>
      <c r="I92" s="54">
        <v>2.5</v>
      </c>
      <c r="J92" s="54">
        <v>14.3</v>
      </c>
      <c r="K92" s="54">
        <v>14</v>
      </c>
      <c r="N92" t="s">
        <v>161</v>
      </c>
    </row>
    <row r="93" spans="2:14" x14ac:dyDescent="0.25">
      <c r="B93" t="s">
        <v>161</v>
      </c>
      <c r="C93" s="58" t="s">
        <v>311</v>
      </c>
      <c r="D93" s="59" t="s">
        <v>150</v>
      </c>
      <c r="E93" s="57" t="s">
        <v>262</v>
      </c>
      <c r="F93" s="54" t="s">
        <v>150</v>
      </c>
      <c r="G93" s="54">
        <v>25.1</v>
      </c>
      <c r="H93" s="54">
        <v>5</v>
      </c>
      <c r="I93" s="54">
        <v>2.5</v>
      </c>
      <c r="J93" s="54">
        <v>18.3</v>
      </c>
      <c r="K93" s="54">
        <v>14</v>
      </c>
      <c r="N93" t="s">
        <v>161</v>
      </c>
    </row>
    <row r="94" spans="2:14" x14ac:dyDescent="0.25">
      <c r="B94" t="s">
        <v>161</v>
      </c>
      <c r="C94" s="58" t="s">
        <v>312</v>
      </c>
      <c r="D94" s="59" t="s">
        <v>150</v>
      </c>
      <c r="E94" s="57" t="s">
        <v>264</v>
      </c>
      <c r="F94" s="54" t="s">
        <v>150</v>
      </c>
      <c r="G94" s="54">
        <v>24.67</v>
      </c>
      <c r="H94" s="54">
        <v>5</v>
      </c>
      <c r="I94" s="54">
        <v>2.5</v>
      </c>
      <c r="J94" s="54">
        <v>13.6</v>
      </c>
      <c r="K94" s="54">
        <v>14</v>
      </c>
      <c r="N94" t="s">
        <v>161</v>
      </c>
    </row>
    <row r="95" spans="2:14" x14ac:dyDescent="0.25">
      <c r="B95" t="s">
        <v>161</v>
      </c>
      <c r="C95" s="58" t="s">
        <v>313</v>
      </c>
      <c r="D95" s="59" t="s">
        <v>150</v>
      </c>
      <c r="E95" s="57" t="s">
        <v>314</v>
      </c>
      <c r="F95" s="54" t="s">
        <v>150</v>
      </c>
      <c r="G95" s="54">
        <v>17.670000000000002</v>
      </c>
      <c r="H95" s="54">
        <v>5</v>
      </c>
      <c r="I95" s="54">
        <v>2.5</v>
      </c>
      <c r="J95" s="54">
        <v>0</v>
      </c>
      <c r="K95" s="54">
        <v>14</v>
      </c>
      <c r="N95" t="s">
        <v>161</v>
      </c>
    </row>
    <row r="96" spans="2:14" x14ac:dyDescent="0.25">
      <c r="B96" t="s">
        <v>161</v>
      </c>
      <c r="C96" s="58" t="s">
        <v>315</v>
      </c>
      <c r="D96" s="59" t="s">
        <v>150</v>
      </c>
      <c r="E96" s="57" t="s">
        <v>316</v>
      </c>
      <c r="F96" s="54" t="s">
        <v>150</v>
      </c>
      <c r="G96" s="54">
        <v>17.670000000000002</v>
      </c>
      <c r="H96" s="54">
        <v>5</v>
      </c>
      <c r="I96" s="54">
        <v>2.5</v>
      </c>
      <c r="J96" s="54">
        <v>0</v>
      </c>
      <c r="K96" s="54">
        <v>14</v>
      </c>
      <c r="N96" t="s">
        <v>161</v>
      </c>
    </row>
    <row r="97" spans="2:14" x14ac:dyDescent="0.25">
      <c r="B97" t="s">
        <v>161</v>
      </c>
      <c r="C97" s="58" t="s">
        <v>317</v>
      </c>
      <c r="D97" s="59" t="s">
        <v>150</v>
      </c>
      <c r="E97" s="57" t="s">
        <v>318</v>
      </c>
      <c r="F97" s="54" t="s">
        <v>150</v>
      </c>
      <c r="G97" s="54">
        <v>22.07</v>
      </c>
      <c r="H97" s="54">
        <v>5</v>
      </c>
      <c r="I97" s="54">
        <v>2.5</v>
      </c>
      <c r="J97" s="54">
        <v>0</v>
      </c>
      <c r="K97" s="54">
        <v>14</v>
      </c>
      <c r="N97" t="s">
        <v>161</v>
      </c>
    </row>
    <row r="98" spans="2:14" x14ac:dyDescent="0.25">
      <c r="B98" t="s">
        <v>161</v>
      </c>
      <c r="C98" s="58" t="s">
        <v>319</v>
      </c>
      <c r="D98" s="59" t="s">
        <v>150</v>
      </c>
      <c r="E98" s="57" t="s">
        <v>320</v>
      </c>
      <c r="F98" s="54" t="s">
        <v>150</v>
      </c>
      <c r="G98" s="54">
        <v>19.399999999999999</v>
      </c>
      <c r="H98" s="54">
        <v>5</v>
      </c>
      <c r="I98" s="54">
        <v>2.5</v>
      </c>
      <c r="J98" s="54">
        <v>0</v>
      </c>
      <c r="K98" s="54">
        <v>14</v>
      </c>
      <c r="N98" t="s">
        <v>161</v>
      </c>
    </row>
    <row r="99" spans="2:14" x14ac:dyDescent="0.25">
      <c r="B99" t="s">
        <v>161</v>
      </c>
      <c r="C99" s="58" t="s">
        <v>321</v>
      </c>
      <c r="D99" s="59" t="s">
        <v>150</v>
      </c>
      <c r="E99" s="57" t="s">
        <v>322</v>
      </c>
      <c r="F99" s="54" t="s">
        <v>150</v>
      </c>
      <c r="G99" s="54">
        <v>38.25</v>
      </c>
      <c r="H99" s="54">
        <v>5</v>
      </c>
      <c r="I99" s="54">
        <v>2.5</v>
      </c>
      <c r="J99" s="54">
        <v>0</v>
      </c>
      <c r="K99" s="54">
        <v>14</v>
      </c>
      <c r="N99" t="s">
        <v>161</v>
      </c>
    </row>
    <row r="100" spans="2:14" x14ac:dyDescent="0.25">
      <c r="B100" t="s">
        <v>161</v>
      </c>
      <c r="C100" s="58" t="s">
        <v>323</v>
      </c>
      <c r="D100" s="59" t="s">
        <v>150</v>
      </c>
      <c r="E100" s="57" t="s">
        <v>324</v>
      </c>
      <c r="F100" s="54" t="s">
        <v>150</v>
      </c>
      <c r="G100" s="54">
        <v>38.25</v>
      </c>
      <c r="H100" s="54">
        <v>5</v>
      </c>
      <c r="I100" s="54">
        <v>2.5</v>
      </c>
      <c r="J100" s="54">
        <v>0</v>
      </c>
      <c r="K100" s="54">
        <v>14</v>
      </c>
      <c r="N100" t="s">
        <v>161</v>
      </c>
    </row>
    <row r="101" spans="2:14" x14ac:dyDescent="0.25">
      <c r="B101" t="s">
        <v>161</v>
      </c>
      <c r="C101" s="58" t="s">
        <v>325</v>
      </c>
      <c r="D101" s="59" t="s">
        <v>150</v>
      </c>
      <c r="E101" s="57" t="s">
        <v>326</v>
      </c>
      <c r="F101" s="54" t="s">
        <v>150</v>
      </c>
      <c r="G101" s="54">
        <v>38.92</v>
      </c>
      <c r="H101" s="54">
        <v>5</v>
      </c>
      <c r="I101" s="54">
        <v>2.5</v>
      </c>
      <c r="J101" s="54">
        <v>0</v>
      </c>
      <c r="K101" s="54">
        <v>14</v>
      </c>
      <c r="N101" t="s">
        <v>161</v>
      </c>
    </row>
    <row r="102" spans="2:14" x14ac:dyDescent="0.25">
      <c r="B102" t="s">
        <v>161</v>
      </c>
      <c r="C102" s="58" t="s">
        <v>327</v>
      </c>
      <c r="D102" s="59" t="s">
        <v>150</v>
      </c>
      <c r="E102" s="57" t="s">
        <v>328</v>
      </c>
      <c r="F102" s="54" t="s">
        <v>150</v>
      </c>
      <c r="G102" s="54">
        <v>39.03</v>
      </c>
      <c r="H102" s="54">
        <v>5</v>
      </c>
      <c r="I102" s="54">
        <v>2.5</v>
      </c>
      <c r="J102" s="54">
        <v>0</v>
      </c>
      <c r="K102" s="54">
        <v>14</v>
      </c>
      <c r="N102" t="s">
        <v>161</v>
      </c>
    </row>
    <row r="103" spans="2:14" x14ac:dyDescent="0.25">
      <c r="B103" t="s">
        <v>161</v>
      </c>
      <c r="C103" s="58" t="s">
        <v>329</v>
      </c>
      <c r="D103" s="59" t="s">
        <v>150</v>
      </c>
      <c r="E103" s="57" t="s">
        <v>330</v>
      </c>
      <c r="F103" s="54" t="s">
        <v>150</v>
      </c>
      <c r="G103" s="54">
        <v>32.9</v>
      </c>
      <c r="H103" s="54">
        <v>5</v>
      </c>
      <c r="I103" s="54">
        <v>2.5</v>
      </c>
      <c r="J103" s="54">
        <v>0</v>
      </c>
      <c r="K103" s="54">
        <v>14</v>
      </c>
      <c r="N103" t="s">
        <v>161</v>
      </c>
    </row>
    <row r="104" spans="2:14" x14ac:dyDescent="0.25">
      <c r="B104" t="s">
        <v>161</v>
      </c>
      <c r="C104" s="58" t="s">
        <v>331</v>
      </c>
      <c r="D104" s="59" t="s">
        <v>150</v>
      </c>
      <c r="E104" s="57" t="s">
        <v>332</v>
      </c>
      <c r="F104" s="54" t="s">
        <v>150</v>
      </c>
      <c r="G104" s="54">
        <v>32.659999999999997</v>
      </c>
      <c r="H104" s="54">
        <v>5</v>
      </c>
      <c r="I104" s="54">
        <v>2.5</v>
      </c>
      <c r="J104" s="54">
        <v>0</v>
      </c>
      <c r="K104" s="54">
        <v>14</v>
      </c>
      <c r="N104" t="s">
        <v>161</v>
      </c>
    </row>
    <row r="105" spans="2:14" x14ac:dyDescent="0.25">
      <c r="B105" t="s">
        <v>161</v>
      </c>
      <c r="C105" s="58" t="s">
        <v>333</v>
      </c>
      <c r="D105" s="59" t="s">
        <v>150</v>
      </c>
      <c r="E105" s="57" t="s">
        <v>334</v>
      </c>
      <c r="F105" s="54" t="s">
        <v>150</v>
      </c>
      <c r="G105" s="54">
        <v>31.55</v>
      </c>
      <c r="H105" s="54">
        <v>5</v>
      </c>
      <c r="I105" s="54">
        <v>2.5</v>
      </c>
      <c r="J105" s="54">
        <v>0</v>
      </c>
      <c r="K105" s="54">
        <v>14</v>
      </c>
      <c r="N105" t="s">
        <v>161</v>
      </c>
    </row>
    <row r="106" spans="2:14" x14ac:dyDescent="0.25">
      <c r="B106" t="s">
        <v>161</v>
      </c>
      <c r="C106" s="58" t="s">
        <v>335</v>
      </c>
      <c r="D106" s="59" t="s">
        <v>150</v>
      </c>
      <c r="E106" s="57" t="s">
        <v>336</v>
      </c>
      <c r="F106" s="54" t="s">
        <v>150</v>
      </c>
      <c r="G106" s="54">
        <v>31.11</v>
      </c>
      <c r="H106" s="54">
        <v>5</v>
      </c>
      <c r="I106" s="54">
        <v>2.5</v>
      </c>
      <c r="J106" s="54">
        <v>0</v>
      </c>
      <c r="K106" s="54">
        <v>14</v>
      </c>
      <c r="N106" t="s">
        <v>161</v>
      </c>
    </row>
    <row r="107" spans="2:14" x14ac:dyDescent="0.25">
      <c r="B107" t="s">
        <v>161</v>
      </c>
      <c r="C107" s="58" t="s">
        <v>337</v>
      </c>
      <c r="D107" s="59" t="s">
        <v>150</v>
      </c>
      <c r="E107" s="57" t="s">
        <v>338</v>
      </c>
      <c r="F107" s="54" t="s">
        <v>150</v>
      </c>
      <c r="G107" s="54">
        <v>27.51</v>
      </c>
      <c r="H107" s="54">
        <v>5</v>
      </c>
      <c r="I107" s="54">
        <v>2.5</v>
      </c>
      <c r="J107" s="54">
        <v>0</v>
      </c>
      <c r="K107" s="54">
        <v>14</v>
      </c>
      <c r="N107" t="s">
        <v>161</v>
      </c>
    </row>
    <row r="108" spans="2:14" x14ac:dyDescent="0.25">
      <c r="B108" t="s">
        <v>161</v>
      </c>
      <c r="C108" s="58" t="s">
        <v>339</v>
      </c>
      <c r="D108" s="59" t="s">
        <v>150</v>
      </c>
      <c r="E108" s="57" t="s">
        <v>340</v>
      </c>
      <c r="F108" s="54" t="s">
        <v>150</v>
      </c>
      <c r="G108" s="54">
        <v>27.51</v>
      </c>
      <c r="H108" s="54">
        <v>5</v>
      </c>
      <c r="I108" s="54">
        <v>2.5</v>
      </c>
      <c r="J108" s="54">
        <v>0</v>
      </c>
      <c r="K108" s="54">
        <v>14</v>
      </c>
      <c r="N108" t="s">
        <v>161</v>
      </c>
    </row>
    <row r="109" spans="2:14" x14ac:dyDescent="0.25">
      <c r="B109" t="s">
        <v>161</v>
      </c>
      <c r="C109" s="58" t="s">
        <v>341</v>
      </c>
      <c r="D109" s="59" t="s">
        <v>150</v>
      </c>
      <c r="E109" s="57" t="s">
        <v>342</v>
      </c>
      <c r="F109" s="54" t="s">
        <v>150</v>
      </c>
      <c r="G109" s="54">
        <v>36.11</v>
      </c>
      <c r="H109" s="54">
        <v>5</v>
      </c>
      <c r="I109" s="54">
        <v>2.5</v>
      </c>
      <c r="J109" s="54">
        <v>0</v>
      </c>
      <c r="K109" s="54">
        <v>14</v>
      </c>
      <c r="N109" t="s">
        <v>161</v>
      </c>
    </row>
    <row r="110" spans="2:14" x14ac:dyDescent="0.25">
      <c r="B110" t="s">
        <v>161</v>
      </c>
      <c r="C110" s="58" t="s">
        <v>343</v>
      </c>
      <c r="D110" s="59" t="s">
        <v>150</v>
      </c>
      <c r="E110" s="57" t="s">
        <v>344</v>
      </c>
      <c r="F110" s="54" t="s">
        <v>150</v>
      </c>
      <c r="G110" s="54">
        <v>29.69</v>
      </c>
      <c r="H110" s="54">
        <v>5</v>
      </c>
      <c r="I110" s="54">
        <v>2.5</v>
      </c>
      <c r="J110" s="54">
        <v>0</v>
      </c>
      <c r="K110" s="54">
        <v>14</v>
      </c>
      <c r="N110" t="s">
        <v>161</v>
      </c>
    </row>
    <row r="111" spans="2:14" x14ac:dyDescent="0.25">
      <c r="B111" t="s">
        <v>161</v>
      </c>
      <c r="C111" s="58" t="s">
        <v>345</v>
      </c>
      <c r="D111" s="59" t="s">
        <v>150</v>
      </c>
      <c r="E111" s="57" t="s">
        <v>346</v>
      </c>
      <c r="F111" s="54" t="s">
        <v>150</v>
      </c>
      <c r="G111" s="54">
        <v>50.09</v>
      </c>
      <c r="H111" s="54">
        <v>5</v>
      </c>
      <c r="I111" s="54">
        <v>2.5</v>
      </c>
      <c r="J111" s="54">
        <v>0</v>
      </c>
      <c r="K111" s="54">
        <v>14</v>
      </c>
      <c r="N111" t="s">
        <v>161</v>
      </c>
    </row>
    <row r="112" spans="2:14" x14ac:dyDescent="0.25">
      <c r="B112" t="s">
        <v>161</v>
      </c>
      <c r="C112" s="58" t="s">
        <v>347</v>
      </c>
      <c r="D112" s="59" t="s">
        <v>150</v>
      </c>
      <c r="E112" s="57" t="s">
        <v>348</v>
      </c>
      <c r="F112" s="54" t="s">
        <v>150</v>
      </c>
      <c r="G112" s="54">
        <v>50.09</v>
      </c>
      <c r="H112" s="54">
        <v>5</v>
      </c>
      <c r="I112" s="54">
        <v>2.5</v>
      </c>
      <c r="J112" s="54">
        <v>0</v>
      </c>
      <c r="K112" s="54">
        <v>14</v>
      </c>
      <c r="N112" t="s">
        <v>161</v>
      </c>
    </row>
    <row r="113" spans="2:14" x14ac:dyDescent="0.25">
      <c r="B113" t="s">
        <v>161</v>
      </c>
      <c r="C113" s="58" t="s">
        <v>349</v>
      </c>
      <c r="D113" s="59" t="s">
        <v>150</v>
      </c>
      <c r="E113" s="57" t="s">
        <v>342</v>
      </c>
      <c r="F113" s="54" t="s">
        <v>150</v>
      </c>
      <c r="G113" s="54">
        <v>41.93</v>
      </c>
      <c r="H113" s="54">
        <v>5</v>
      </c>
      <c r="I113" s="54">
        <v>2.5</v>
      </c>
      <c r="J113" s="54">
        <v>0</v>
      </c>
      <c r="K113" s="54">
        <v>14</v>
      </c>
      <c r="N113" t="s">
        <v>161</v>
      </c>
    </row>
    <row r="114" spans="2:14" x14ac:dyDescent="0.25">
      <c r="B114" t="s">
        <v>161</v>
      </c>
      <c r="C114" s="58" t="s">
        <v>350</v>
      </c>
      <c r="D114" s="59" t="s">
        <v>150</v>
      </c>
      <c r="E114" s="57" t="s">
        <v>344</v>
      </c>
      <c r="F114" s="54" t="s">
        <v>150</v>
      </c>
      <c r="G114" s="54">
        <v>34.32</v>
      </c>
      <c r="H114" s="54">
        <v>5</v>
      </c>
      <c r="I114" s="54">
        <v>2.5</v>
      </c>
      <c r="J114" s="54">
        <v>0</v>
      </c>
      <c r="K114" s="54">
        <v>14</v>
      </c>
      <c r="N114" t="s">
        <v>161</v>
      </c>
    </row>
    <row r="115" spans="2:14" x14ac:dyDescent="0.25">
      <c r="B115" t="s">
        <v>161</v>
      </c>
      <c r="C115" s="58" t="s">
        <v>351</v>
      </c>
      <c r="D115" s="59" t="s">
        <v>150</v>
      </c>
      <c r="E115" s="57" t="s">
        <v>352</v>
      </c>
      <c r="F115" s="54" t="s">
        <v>150</v>
      </c>
      <c r="G115" s="54">
        <v>26.36</v>
      </c>
      <c r="H115" s="54">
        <v>5</v>
      </c>
      <c r="I115" s="54">
        <v>2.5</v>
      </c>
      <c r="J115" s="54">
        <v>0</v>
      </c>
      <c r="K115" s="54">
        <v>14</v>
      </c>
      <c r="N115" t="s">
        <v>161</v>
      </c>
    </row>
    <row r="116" spans="2:14" x14ac:dyDescent="0.25">
      <c r="B116" t="s">
        <v>161</v>
      </c>
      <c r="C116" s="58" t="s">
        <v>353</v>
      </c>
      <c r="D116" s="59" t="s">
        <v>150</v>
      </c>
      <c r="E116" s="57" t="s">
        <v>354</v>
      </c>
      <c r="F116" s="54" t="s">
        <v>150</v>
      </c>
      <c r="G116" s="54">
        <v>31.21</v>
      </c>
      <c r="H116" s="54">
        <v>5</v>
      </c>
      <c r="I116" s="54">
        <v>2.5</v>
      </c>
      <c r="J116" s="54">
        <v>0</v>
      </c>
      <c r="K116" s="54">
        <v>14</v>
      </c>
      <c r="N116" t="s">
        <v>161</v>
      </c>
    </row>
    <row r="117" spans="2:14" x14ac:dyDescent="0.25">
      <c r="B117" t="s">
        <v>161</v>
      </c>
      <c r="C117" s="58" t="s">
        <v>355</v>
      </c>
      <c r="D117" s="59" t="s">
        <v>150</v>
      </c>
      <c r="E117" s="57" t="s">
        <v>356</v>
      </c>
      <c r="F117" s="54" t="s">
        <v>150</v>
      </c>
      <c r="G117" s="54">
        <v>25.6</v>
      </c>
      <c r="H117" s="54">
        <v>5</v>
      </c>
      <c r="I117" s="54">
        <v>2.5</v>
      </c>
      <c r="J117" s="54">
        <v>0</v>
      </c>
      <c r="K117" s="54">
        <v>14</v>
      </c>
      <c r="N117" t="s">
        <v>161</v>
      </c>
    </row>
    <row r="118" spans="2:14" x14ac:dyDescent="0.25">
      <c r="B118" t="s">
        <v>161</v>
      </c>
      <c r="C118" s="58" t="s">
        <v>357</v>
      </c>
      <c r="D118" s="59" t="s">
        <v>150</v>
      </c>
      <c r="E118" s="57" t="s">
        <v>358</v>
      </c>
      <c r="F118" s="54" t="s">
        <v>150</v>
      </c>
      <c r="G118" s="54">
        <v>27.6</v>
      </c>
      <c r="H118" s="54">
        <v>5</v>
      </c>
      <c r="I118" s="54">
        <v>2.5</v>
      </c>
      <c r="J118" s="54">
        <v>0</v>
      </c>
      <c r="K118" s="54">
        <v>14</v>
      </c>
      <c r="N118" t="s">
        <v>161</v>
      </c>
    </row>
    <row r="119" spans="2:14" x14ac:dyDescent="0.25">
      <c r="B119" t="s">
        <v>161</v>
      </c>
      <c r="C119" s="58" t="s">
        <v>359</v>
      </c>
      <c r="D119" s="59" t="s">
        <v>150</v>
      </c>
      <c r="E119" s="57" t="s">
        <v>360</v>
      </c>
      <c r="F119" s="54" t="s">
        <v>150</v>
      </c>
      <c r="G119" s="54">
        <v>37.340000000000003</v>
      </c>
      <c r="H119" s="54">
        <v>5</v>
      </c>
      <c r="I119" s="54">
        <v>2.5</v>
      </c>
      <c r="J119" s="54">
        <v>0</v>
      </c>
      <c r="K119" s="54">
        <v>14</v>
      </c>
      <c r="N119" t="s">
        <v>161</v>
      </c>
    </row>
    <row r="120" spans="2:14" x14ac:dyDescent="0.25">
      <c r="B120" t="s">
        <v>161</v>
      </c>
      <c r="C120" s="58" t="s">
        <v>361</v>
      </c>
      <c r="D120" s="59" t="s">
        <v>150</v>
      </c>
      <c r="E120" s="57" t="s">
        <v>362</v>
      </c>
      <c r="F120" s="54" t="s">
        <v>150</v>
      </c>
      <c r="G120" s="54">
        <v>37.340000000000003</v>
      </c>
      <c r="H120" s="54">
        <v>5</v>
      </c>
      <c r="I120" s="54">
        <v>2.5</v>
      </c>
      <c r="J120" s="54">
        <v>0</v>
      </c>
      <c r="K120" s="54">
        <v>14</v>
      </c>
      <c r="N120" t="s">
        <v>161</v>
      </c>
    </row>
    <row r="121" spans="2:14" x14ac:dyDescent="0.25">
      <c r="B121" t="s">
        <v>161</v>
      </c>
      <c r="C121" s="58" t="s">
        <v>363</v>
      </c>
      <c r="D121" s="59" t="s">
        <v>150</v>
      </c>
      <c r="E121" s="57" t="s">
        <v>364</v>
      </c>
      <c r="F121" s="54" t="s">
        <v>150</v>
      </c>
      <c r="G121" s="54">
        <v>42.19</v>
      </c>
      <c r="H121" s="54">
        <v>5</v>
      </c>
      <c r="I121" s="54">
        <v>2.5</v>
      </c>
      <c r="J121" s="54">
        <v>0</v>
      </c>
      <c r="K121" s="54">
        <v>14</v>
      </c>
      <c r="N121" t="s">
        <v>161</v>
      </c>
    </row>
    <row r="122" spans="2:14" x14ac:dyDescent="0.25">
      <c r="B122" t="s">
        <v>161</v>
      </c>
      <c r="C122" s="58" t="s">
        <v>365</v>
      </c>
      <c r="D122" s="59" t="s">
        <v>150</v>
      </c>
      <c r="E122" s="57" t="s">
        <v>366</v>
      </c>
      <c r="F122" s="54" t="s">
        <v>150</v>
      </c>
      <c r="G122" s="54">
        <v>41.17</v>
      </c>
      <c r="H122" s="54">
        <v>5</v>
      </c>
      <c r="I122" s="54">
        <v>2.5</v>
      </c>
      <c r="J122" s="54">
        <v>0</v>
      </c>
      <c r="K122" s="54">
        <v>14</v>
      </c>
      <c r="N122" t="s">
        <v>161</v>
      </c>
    </row>
    <row r="123" spans="2:14" x14ac:dyDescent="0.25">
      <c r="B123" t="s">
        <v>161</v>
      </c>
      <c r="C123" s="58" t="s">
        <v>367</v>
      </c>
      <c r="D123" s="59" t="s">
        <v>150</v>
      </c>
      <c r="E123" s="57" t="s">
        <v>368</v>
      </c>
      <c r="F123" s="54" t="s">
        <v>150</v>
      </c>
      <c r="G123" s="54">
        <v>18.66</v>
      </c>
      <c r="H123" s="54">
        <v>5</v>
      </c>
      <c r="I123" s="54">
        <v>2.5</v>
      </c>
      <c r="J123" s="54">
        <v>0</v>
      </c>
      <c r="K123" s="54">
        <v>14</v>
      </c>
      <c r="N123" t="s">
        <v>161</v>
      </c>
    </row>
    <row r="124" spans="2:14" x14ac:dyDescent="0.25">
      <c r="B124" t="s">
        <v>161</v>
      </c>
      <c r="C124" s="58" t="s">
        <v>369</v>
      </c>
      <c r="D124" s="59" t="s">
        <v>150</v>
      </c>
      <c r="E124" s="57" t="s">
        <v>370</v>
      </c>
      <c r="F124" s="54" t="s">
        <v>150</v>
      </c>
      <c r="G124" s="54">
        <v>19.27</v>
      </c>
      <c r="H124" s="54">
        <v>5</v>
      </c>
      <c r="I124" s="54">
        <v>2.5</v>
      </c>
      <c r="J124" s="54">
        <v>0</v>
      </c>
      <c r="K124" s="54">
        <v>14</v>
      </c>
      <c r="N124" t="s">
        <v>161</v>
      </c>
    </row>
    <row r="125" spans="2:14" x14ac:dyDescent="0.25">
      <c r="B125" t="s">
        <v>161</v>
      </c>
      <c r="C125" s="58" t="s">
        <v>371</v>
      </c>
      <c r="D125" s="59" t="s">
        <v>150</v>
      </c>
      <c r="E125" s="57" t="s">
        <v>372</v>
      </c>
      <c r="F125" s="54" t="s">
        <v>150</v>
      </c>
      <c r="G125" s="54">
        <v>41.81</v>
      </c>
      <c r="H125" s="54">
        <v>5</v>
      </c>
      <c r="I125" s="54">
        <v>2.5</v>
      </c>
      <c r="J125" s="54">
        <v>0</v>
      </c>
      <c r="K125" s="54">
        <v>14</v>
      </c>
      <c r="N125" t="s">
        <v>161</v>
      </c>
    </row>
    <row r="126" spans="2:14" x14ac:dyDescent="0.25">
      <c r="B126" t="s">
        <v>161</v>
      </c>
      <c r="C126" s="58" t="s">
        <v>373</v>
      </c>
      <c r="D126" s="59" t="s">
        <v>150</v>
      </c>
      <c r="E126" s="57" t="s">
        <v>374</v>
      </c>
      <c r="F126" s="54" t="s">
        <v>150</v>
      </c>
      <c r="G126" s="54">
        <v>39.92</v>
      </c>
      <c r="H126" s="54">
        <v>5</v>
      </c>
      <c r="I126" s="54">
        <v>2.5</v>
      </c>
      <c r="J126" s="54">
        <v>0</v>
      </c>
      <c r="K126" s="54">
        <v>14</v>
      </c>
      <c r="N126" t="s">
        <v>161</v>
      </c>
    </row>
    <row r="127" spans="2:14" x14ac:dyDescent="0.25">
      <c r="B127" t="s">
        <v>161</v>
      </c>
      <c r="C127" s="58" t="s">
        <v>375</v>
      </c>
      <c r="D127" s="59" t="s">
        <v>150</v>
      </c>
      <c r="E127" s="57" t="s">
        <v>280</v>
      </c>
      <c r="F127" s="54" t="s">
        <v>150</v>
      </c>
      <c r="G127" s="54">
        <v>33.65</v>
      </c>
      <c r="H127" s="54">
        <v>5</v>
      </c>
      <c r="I127" s="54">
        <v>2.5</v>
      </c>
      <c r="J127" s="54">
        <v>0</v>
      </c>
      <c r="K127" s="54">
        <v>14</v>
      </c>
      <c r="N127" t="s">
        <v>161</v>
      </c>
    </row>
    <row r="128" spans="2:14" x14ac:dyDescent="0.25">
      <c r="B128" t="s">
        <v>161</v>
      </c>
      <c r="C128" s="58" t="s">
        <v>376</v>
      </c>
      <c r="D128" s="59" t="s">
        <v>150</v>
      </c>
      <c r="E128" s="57" t="s">
        <v>282</v>
      </c>
      <c r="F128" s="54" t="s">
        <v>150</v>
      </c>
      <c r="G128" s="54">
        <v>29.12</v>
      </c>
      <c r="H128" s="54">
        <v>5</v>
      </c>
      <c r="I128" s="54">
        <v>2.5</v>
      </c>
      <c r="J128" s="54">
        <v>0</v>
      </c>
      <c r="K128" s="54">
        <v>14</v>
      </c>
      <c r="N128" t="s">
        <v>161</v>
      </c>
    </row>
    <row r="129" spans="2:14" x14ac:dyDescent="0.25">
      <c r="B129" t="s">
        <v>161</v>
      </c>
      <c r="C129" s="58" t="s">
        <v>377</v>
      </c>
      <c r="D129" s="59" t="s">
        <v>155</v>
      </c>
      <c r="E129" s="57" t="s">
        <v>1525</v>
      </c>
      <c r="F129" s="54" t="s">
        <v>155</v>
      </c>
      <c r="G129" s="54" t="s">
        <v>378</v>
      </c>
      <c r="H129" s="54">
        <v>1</v>
      </c>
      <c r="I129" s="54">
        <v>0</v>
      </c>
      <c r="J129" s="54">
        <v>0</v>
      </c>
      <c r="K129" s="54">
        <v>18</v>
      </c>
      <c r="L129" s="23"/>
      <c r="N129" t="s">
        <v>161</v>
      </c>
    </row>
    <row r="130" spans="2:14" x14ac:dyDescent="0.25">
      <c r="B130" t="s">
        <v>161</v>
      </c>
      <c r="C130" s="58" t="s">
        <v>379</v>
      </c>
      <c r="D130" s="59" t="s">
        <v>155</v>
      </c>
      <c r="E130" s="57" t="s">
        <v>1525</v>
      </c>
      <c r="F130" s="54" t="s">
        <v>155</v>
      </c>
      <c r="G130" s="54" t="s">
        <v>378</v>
      </c>
      <c r="H130" s="54">
        <v>1</v>
      </c>
      <c r="I130" s="54">
        <v>0</v>
      </c>
      <c r="J130" s="54">
        <v>0</v>
      </c>
      <c r="K130" s="54">
        <v>18</v>
      </c>
      <c r="L130" s="23"/>
      <c r="N130" t="s">
        <v>161</v>
      </c>
    </row>
    <row r="131" spans="2:14" x14ac:dyDescent="0.25">
      <c r="B131" t="s">
        <v>161</v>
      </c>
      <c r="C131" s="58" t="s">
        <v>380</v>
      </c>
      <c r="D131" s="59" t="s">
        <v>152</v>
      </c>
      <c r="E131" s="57" t="s">
        <v>381</v>
      </c>
      <c r="F131" s="54" t="s">
        <v>152</v>
      </c>
      <c r="G131" s="54" t="s">
        <v>147</v>
      </c>
      <c r="H131" s="54">
        <v>5</v>
      </c>
      <c r="I131" s="54">
        <v>0</v>
      </c>
      <c r="J131" s="54">
        <v>0</v>
      </c>
      <c r="K131" s="54">
        <v>14</v>
      </c>
      <c r="L131" s="23"/>
      <c r="N131" t="s">
        <v>161</v>
      </c>
    </row>
    <row r="132" spans="2:14" x14ac:dyDescent="0.25">
      <c r="B132" t="s">
        <v>161</v>
      </c>
      <c r="C132" s="58" t="s">
        <v>382</v>
      </c>
      <c r="D132" s="59" t="s">
        <v>152</v>
      </c>
      <c r="E132" s="57" t="s">
        <v>383</v>
      </c>
      <c r="F132" s="54" t="s">
        <v>152</v>
      </c>
      <c r="G132" s="54" t="s">
        <v>147</v>
      </c>
      <c r="H132" s="54">
        <v>5</v>
      </c>
      <c r="I132" s="54">
        <v>0</v>
      </c>
      <c r="J132" s="54">
        <v>0</v>
      </c>
      <c r="K132" s="54">
        <v>14</v>
      </c>
      <c r="L132" s="23"/>
      <c r="N132" t="s">
        <v>161</v>
      </c>
    </row>
    <row r="133" spans="2:14" x14ac:dyDescent="0.25">
      <c r="B133" t="s">
        <v>161</v>
      </c>
      <c r="C133" s="58" t="s">
        <v>384</v>
      </c>
      <c r="D133" s="59" t="s">
        <v>152</v>
      </c>
      <c r="E133" s="57" t="s">
        <v>385</v>
      </c>
      <c r="F133" s="54" t="s">
        <v>152</v>
      </c>
      <c r="G133" s="54" t="s">
        <v>147</v>
      </c>
      <c r="H133" s="54">
        <v>5</v>
      </c>
      <c r="I133" s="54">
        <v>0</v>
      </c>
      <c r="J133" s="54">
        <v>0</v>
      </c>
      <c r="K133" s="54">
        <v>14</v>
      </c>
      <c r="L133" s="23"/>
      <c r="N133" t="s">
        <v>161</v>
      </c>
    </row>
    <row r="134" spans="2:14" x14ac:dyDescent="0.25">
      <c r="B134" t="s">
        <v>161</v>
      </c>
      <c r="C134" s="58" t="s">
        <v>386</v>
      </c>
      <c r="D134" s="59" t="s">
        <v>152</v>
      </c>
      <c r="E134" s="57" t="s">
        <v>387</v>
      </c>
      <c r="F134" s="54" t="s">
        <v>152</v>
      </c>
      <c r="G134" s="54" t="s">
        <v>147</v>
      </c>
      <c r="H134" s="54">
        <v>5</v>
      </c>
      <c r="I134" s="54">
        <v>0</v>
      </c>
      <c r="J134" s="54">
        <v>0</v>
      </c>
      <c r="K134" s="54">
        <v>14</v>
      </c>
      <c r="L134" s="23"/>
      <c r="N134" t="s">
        <v>161</v>
      </c>
    </row>
    <row r="135" spans="2:14" x14ac:dyDescent="0.25">
      <c r="B135" t="s">
        <v>161</v>
      </c>
      <c r="C135" s="58" t="s">
        <v>388</v>
      </c>
      <c r="D135" s="59" t="s">
        <v>152</v>
      </c>
      <c r="E135" s="57" t="s">
        <v>389</v>
      </c>
      <c r="F135" s="54" t="s">
        <v>152</v>
      </c>
      <c r="G135" s="54" t="s">
        <v>147</v>
      </c>
      <c r="H135" s="54">
        <v>5</v>
      </c>
      <c r="I135" s="54">
        <v>0</v>
      </c>
      <c r="J135" s="54">
        <v>0</v>
      </c>
      <c r="K135" s="54">
        <v>14</v>
      </c>
      <c r="L135" s="23"/>
      <c r="N135" t="s">
        <v>161</v>
      </c>
    </row>
    <row r="136" spans="2:14" x14ac:dyDescent="0.25">
      <c r="B136" t="s">
        <v>161</v>
      </c>
      <c r="C136" s="58" t="s">
        <v>390</v>
      </c>
      <c r="D136" s="59" t="s">
        <v>152</v>
      </c>
      <c r="E136" s="57" t="s">
        <v>391</v>
      </c>
      <c r="F136" s="54" t="s">
        <v>152</v>
      </c>
      <c r="G136" s="54" t="s">
        <v>147</v>
      </c>
      <c r="H136" s="54">
        <v>5</v>
      </c>
      <c r="I136" s="54">
        <v>0</v>
      </c>
      <c r="J136" s="54">
        <v>0</v>
      </c>
      <c r="K136" s="54">
        <v>14</v>
      </c>
      <c r="L136" s="23"/>
      <c r="N136" t="s">
        <v>161</v>
      </c>
    </row>
    <row r="137" spans="2:14" x14ac:dyDescent="0.25">
      <c r="B137" t="s">
        <v>161</v>
      </c>
      <c r="C137" s="58" t="s">
        <v>392</v>
      </c>
      <c r="D137" s="59" t="s">
        <v>152</v>
      </c>
      <c r="E137" s="57" t="s">
        <v>393</v>
      </c>
      <c r="F137" s="54" t="s">
        <v>152</v>
      </c>
      <c r="G137" s="54" t="s">
        <v>147</v>
      </c>
      <c r="H137" s="54">
        <v>5</v>
      </c>
      <c r="I137" s="54">
        <v>0</v>
      </c>
      <c r="J137" s="54">
        <v>0</v>
      </c>
      <c r="K137" s="54">
        <v>14</v>
      </c>
      <c r="L137" s="23"/>
      <c r="N137" t="s">
        <v>161</v>
      </c>
    </row>
    <row r="138" spans="2:14" x14ac:dyDescent="0.25">
      <c r="B138" t="s">
        <v>161</v>
      </c>
      <c r="C138" s="58" t="s">
        <v>394</v>
      </c>
      <c r="D138" s="59" t="s">
        <v>152</v>
      </c>
      <c r="E138" s="57" t="s">
        <v>395</v>
      </c>
      <c r="F138" s="54" t="s">
        <v>152</v>
      </c>
      <c r="G138" s="54" t="s">
        <v>147</v>
      </c>
      <c r="H138" s="54">
        <v>5</v>
      </c>
      <c r="I138" s="54">
        <v>0</v>
      </c>
      <c r="J138" s="54">
        <v>0</v>
      </c>
      <c r="K138" s="54">
        <v>14</v>
      </c>
      <c r="L138" s="23"/>
      <c r="N138" t="s">
        <v>161</v>
      </c>
    </row>
    <row r="139" spans="2:14" x14ac:dyDescent="0.25">
      <c r="B139" t="s">
        <v>161</v>
      </c>
      <c r="C139" s="58" t="s">
        <v>396</v>
      </c>
      <c r="D139" s="59" t="s">
        <v>152</v>
      </c>
      <c r="E139" s="57" t="s">
        <v>397</v>
      </c>
      <c r="F139" s="54" t="s">
        <v>152</v>
      </c>
      <c r="G139" s="54" t="s">
        <v>147</v>
      </c>
      <c r="H139" s="54">
        <v>5</v>
      </c>
      <c r="I139" s="54">
        <v>0</v>
      </c>
      <c r="J139" s="54">
        <v>0</v>
      </c>
      <c r="K139" s="54">
        <v>14</v>
      </c>
      <c r="L139" s="23"/>
      <c r="N139" t="s">
        <v>161</v>
      </c>
    </row>
    <row r="140" spans="2:14" x14ac:dyDescent="0.25">
      <c r="B140" t="s">
        <v>161</v>
      </c>
      <c r="C140" s="58" t="s">
        <v>398</v>
      </c>
      <c r="D140" s="59" t="s">
        <v>152</v>
      </c>
      <c r="E140" s="57" t="s">
        <v>399</v>
      </c>
      <c r="F140" s="54" t="s">
        <v>152</v>
      </c>
      <c r="G140" s="54" t="s">
        <v>147</v>
      </c>
      <c r="H140" s="54">
        <v>5</v>
      </c>
      <c r="I140" s="54">
        <v>0</v>
      </c>
      <c r="J140" s="54">
        <v>0</v>
      </c>
      <c r="K140" s="54">
        <v>14</v>
      </c>
      <c r="L140" s="23"/>
      <c r="N140" t="s">
        <v>161</v>
      </c>
    </row>
    <row r="141" spans="2:14" x14ac:dyDescent="0.25">
      <c r="B141" t="s">
        <v>161</v>
      </c>
      <c r="C141" s="58" t="s">
        <v>400</v>
      </c>
      <c r="D141" s="59" t="s">
        <v>152</v>
      </c>
      <c r="E141" s="57" t="s">
        <v>401</v>
      </c>
      <c r="F141" s="54" t="s">
        <v>152</v>
      </c>
      <c r="G141" s="54" t="s">
        <v>147</v>
      </c>
      <c r="H141" s="54">
        <v>5</v>
      </c>
      <c r="I141" s="54">
        <v>0</v>
      </c>
      <c r="J141" s="54">
        <v>0</v>
      </c>
      <c r="K141" s="54">
        <v>14</v>
      </c>
      <c r="L141" s="23"/>
      <c r="N141" t="s">
        <v>161</v>
      </c>
    </row>
    <row r="142" spans="2:14" x14ac:dyDescent="0.25">
      <c r="B142" t="s">
        <v>161</v>
      </c>
      <c r="C142" s="58" t="s">
        <v>402</v>
      </c>
      <c r="D142" s="59" t="s">
        <v>152</v>
      </c>
      <c r="E142" s="57" t="s">
        <v>403</v>
      </c>
      <c r="F142" s="54" t="s">
        <v>152</v>
      </c>
      <c r="G142" s="54" t="s">
        <v>147</v>
      </c>
      <c r="H142" s="54">
        <v>5</v>
      </c>
      <c r="I142" s="54">
        <v>0</v>
      </c>
      <c r="J142" s="54">
        <v>0</v>
      </c>
      <c r="K142" s="54">
        <v>14</v>
      </c>
      <c r="L142" s="23"/>
      <c r="N142" t="s">
        <v>161</v>
      </c>
    </row>
    <row r="143" spans="2:14" x14ac:dyDescent="0.25">
      <c r="B143" t="s">
        <v>161</v>
      </c>
      <c r="C143" s="58" t="s">
        <v>404</v>
      </c>
      <c r="D143" s="59" t="s">
        <v>152</v>
      </c>
      <c r="E143" s="57" t="s">
        <v>405</v>
      </c>
      <c r="F143" s="54" t="s">
        <v>152</v>
      </c>
      <c r="G143" s="54" t="s">
        <v>147</v>
      </c>
      <c r="H143" s="54">
        <v>5</v>
      </c>
      <c r="I143" s="54">
        <v>0</v>
      </c>
      <c r="J143" s="54">
        <v>0</v>
      </c>
      <c r="K143" s="54">
        <v>14</v>
      </c>
      <c r="L143" s="23"/>
      <c r="N143" t="s">
        <v>161</v>
      </c>
    </row>
    <row r="144" spans="2:14" x14ac:dyDescent="0.25">
      <c r="B144" t="s">
        <v>161</v>
      </c>
      <c r="C144" s="58" t="s">
        <v>406</v>
      </c>
      <c r="D144" s="59" t="s">
        <v>152</v>
      </c>
      <c r="E144" s="57" t="s">
        <v>407</v>
      </c>
      <c r="F144" s="54" t="s">
        <v>152</v>
      </c>
      <c r="G144" s="54" t="s">
        <v>147</v>
      </c>
      <c r="H144" s="54">
        <v>5</v>
      </c>
      <c r="I144" s="54">
        <v>0</v>
      </c>
      <c r="J144" s="54">
        <v>0</v>
      </c>
      <c r="K144" s="54">
        <v>14</v>
      </c>
      <c r="L144" s="23"/>
      <c r="N144" t="s">
        <v>161</v>
      </c>
    </row>
    <row r="145" spans="2:14" x14ac:dyDescent="0.25">
      <c r="B145" t="s">
        <v>161</v>
      </c>
      <c r="C145" s="58" t="s">
        <v>408</v>
      </c>
      <c r="D145" s="59" t="s">
        <v>151</v>
      </c>
      <c r="E145" s="57" t="s">
        <v>409</v>
      </c>
      <c r="F145" s="54" t="s">
        <v>151</v>
      </c>
      <c r="G145" s="54" t="s">
        <v>410</v>
      </c>
      <c r="H145" s="54">
        <v>5</v>
      </c>
      <c r="I145" s="54">
        <v>0</v>
      </c>
      <c r="J145" s="54">
        <v>0</v>
      </c>
      <c r="K145" s="54">
        <v>14</v>
      </c>
      <c r="L145" s="23"/>
      <c r="N145" t="s">
        <v>161</v>
      </c>
    </row>
    <row r="146" spans="2:14" x14ac:dyDescent="0.25">
      <c r="B146" t="s">
        <v>161</v>
      </c>
      <c r="C146" s="58" t="s">
        <v>411</v>
      </c>
      <c r="D146" s="59" t="s">
        <v>151</v>
      </c>
      <c r="E146" s="57" t="s">
        <v>412</v>
      </c>
      <c r="F146" s="54" t="s">
        <v>151</v>
      </c>
      <c r="G146" s="54" t="s">
        <v>410</v>
      </c>
      <c r="H146" s="54">
        <v>5</v>
      </c>
      <c r="I146" s="54">
        <v>0</v>
      </c>
      <c r="J146" s="54">
        <v>0</v>
      </c>
      <c r="K146" s="54">
        <v>14</v>
      </c>
      <c r="L146" s="23"/>
      <c r="N146" t="s">
        <v>161</v>
      </c>
    </row>
    <row r="147" spans="2:14" x14ac:dyDescent="0.25">
      <c r="B147" t="s">
        <v>161</v>
      </c>
      <c r="C147" s="58" t="s">
        <v>413</v>
      </c>
      <c r="D147" s="59" t="s">
        <v>152</v>
      </c>
      <c r="E147" s="57" t="s">
        <v>414</v>
      </c>
      <c r="F147" s="54" t="s">
        <v>152</v>
      </c>
      <c r="G147" s="54" t="s">
        <v>147</v>
      </c>
      <c r="H147" s="54">
        <v>5</v>
      </c>
      <c r="I147" s="54">
        <v>0</v>
      </c>
      <c r="J147" s="54">
        <v>0</v>
      </c>
      <c r="K147" s="54">
        <v>14</v>
      </c>
      <c r="L147" s="23"/>
      <c r="N147" t="s">
        <v>161</v>
      </c>
    </row>
    <row r="148" spans="2:14" x14ac:dyDescent="0.25">
      <c r="B148" t="s">
        <v>161</v>
      </c>
      <c r="C148" s="58" t="s">
        <v>415</v>
      </c>
      <c r="D148" s="59" t="s">
        <v>152</v>
      </c>
      <c r="E148" s="57" t="s">
        <v>416</v>
      </c>
      <c r="F148" s="54" t="s">
        <v>152</v>
      </c>
      <c r="G148" s="54" t="s">
        <v>147</v>
      </c>
      <c r="H148" s="54">
        <v>5</v>
      </c>
      <c r="I148" s="54">
        <v>0</v>
      </c>
      <c r="J148" s="54">
        <v>0</v>
      </c>
      <c r="K148" s="54">
        <v>14</v>
      </c>
      <c r="L148" s="23"/>
      <c r="N148" t="s">
        <v>161</v>
      </c>
    </row>
    <row r="149" spans="2:14" x14ac:dyDescent="0.25">
      <c r="B149" t="s">
        <v>161</v>
      </c>
      <c r="C149" s="58" t="s">
        <v>417</v>
      </c>
      <c r="D149" s="59" t="s">
        <v>152</v>
      </c>
      <c r="E149" s="57" t="s">
        <v>418</v>
      </c>
      <c r="F149" s="54" t="s">
        <v>152</v>
      </c>
      <c r="G149" s="54" t="s">
        <v>147</v>
      </c>
      <c r="H149" s="54">
        <v>5</v>
      </c>
      <c r="I149" s="54">
        <v>0</v>
      </c>
      <c r="J149" s="54">
        <v>0</v>
      </c>
      <c r="K149" s="54">
        <v>14</v>
      </c>
      <c r="L149" s="23"/>
      <c r="N149" t="s">
        <v>161</v>
      </c>
    </row>
    <row r="150" spans="2:14" x14ac:dyDescent="0.25">
      <c r="B150" t="s">
        <v>161</v>
      </c>
      <c r="C150" s="58" t="s">
        <v>419</v>
      </c>
      <c r="D150" s="59" t="s">
        <v>152</v>
      </c>
      <c r="E150" s="57" t="s">
        <v>420</v>
      </c>
      <c r="F150" s="54" t="s">
        <v>152</v>
      </c>
      <c r="G150" s="54" t="s">
        <v>147</v>
      </c>
      <c r="H150" s="54">
        <v>5</v>
      </c>
      <c r="I150" s="54">
        <v>0</v>
      </c>
      <c r="J150" s="54">
        <v>0</v>
      </c>
      <c r="K150" s="54">
        <v>14</v>
      </c>
      <c r="L150" s="23"/>
      <c r="N150" t="s">
        <v>161</v>
      </c>
    </row>
    <row r="151" spans="2:14" x14ac:dyDescent="0.25">
      <c r="B151" t="s">
        <v>161</v>
      </c>
      <c r="C151" s="58" t="s">
        <v>421</v>
      </c>
      <c r="D151" s="59" t="s">
        <v>152</v>
      </c>
      <c r="E151" s="57" t="s">
        <v>422</v>
      </c>
      <c r="F151" s="54" t="s">
        <v>152</v>
      </c>
      <c r="G151" s="54" t="s">
        <v>147</v>
      </c>
      <c r="H151" s="54">
        <v>5</v>
      </c>
      <c r="I151" s="54">
        <v>0</v>
      </c>
      <c r="J151" s="54">
        <v>12.8</v>
      </c>
      <c r="K151" s="54">
        <v>14</v>
      </c>
      <c r="L151" s="23"/>
      <c r="N151" t="s">
        <v>161</v>
      </c>
    </row>
    <row r="152" spans="2:14" x14ac:dyDescent="0.25">
      <c r="B152" t="s">
        <v>161</v>
      </c>
      <c r="C152" s="58" t="s">
        <v>423</v>
      </c>
      <c r="D152" s="59" t="s">
        <v>152</v>
      </c>
      <c r="E152" s="57" t="s">
        <v>424</v>
      </c>
      <c r="F152" s="54" t="s">
        <v>152</v>
      </c>
      <c r="G152" s="54" t="s">
        <v>147</v>
      </c>
      <c r="H152" s="54">
        <v>5</v>
      </c>
      <c r="I152" s="54">
        <v>0</v>
      </c>
      <c r="J152" s="54">
        <v>9.8000000000000007</v>
      </c>
      <c r="K152" s="54">
        <v>14</v>
      </c>
      <c r="L152" s="23"/>
      <c r="N152" t="s">
        <v>161</v>
      </c>
    </row>
    <row r="153" spans="2:14" x14ac:dyDescent="0.25">
      <c r="B153" t="s">
        <v>161</v>
      </c>
      <c r="C153" s="58" t="s">
        <v>425</v>
      </c>
      <c r="D153" s="59" t="s">
        <v>152</v>
      </c>
      <c r="E153" s="57" t="s">
        <v>426</v>
      </c>
      <c r="F153" s="54" t="s">
        <v>152</v>
      </c>
      <c r="G153" s="54" t="s">
        <v>147</v>
      </c>
      <c r="H153" s="54">
        <v>5</v>
      </c>
      <c r="I153" s="54">
        <v>0</v>
      </c>
      <c r="J153" s="54">
        <v>0</v>
      </c>
      <c r="K153" s="54">
        <v>14</v>
      </c>
      <c r="L153" s="23"/>
      <c r="N153" t="s">
        <v>161</v>
      </c>
    </row>
    <row r="154" spans="2:14" x14ac:dyDescent="0.25">
      <c r="B154" t="s">
        <v>161</v>
      </c>
      <c r="C154" s="58" t="s">
        <v>427</v>
      </c>
      <c r="D154" s="59" t="s">
        <v>152</v>
      </c>
      <c r="E154" s="57" t="s">
        <v>428</v>
      </c>
      <c r="F154" s="54" t="s">
        <v>152</v>
      </c>
      <c r="G154" s="54" t="s">
        <v>147</v>
      </c>
      <c r="H154" s="54">
        <v>5</v>
      </c>
      <c r="I154" s="54">
        <v>0</v>
      </c>
      <c r="J154" s="54">
        <v>0</v>
      </c>
      <c r="K154" s="54">
        <v>14</v>
      </c>
      <c r="L154" s="23"/>
      <c r="N154" t="s">
        <v>161</v>
      </c>
    </row>
    <row r="155" spans="2:14" x14ac:dyDescent="0.25">
      <c r="B155" t="s">
        <v>161</v>
      </c>
      <c r="C155" s="58" t="s">
        <v>429</v>
      </c>
      <c r="D155" s="59" t="s">
        <v>152</v>
      </c>
      <c r="E155" s="57" t="s">
        <v>430</v>
      </c>
      <c r="F155" s="54" t="s">
        <v>152</v>
      </c>
      <c r="G155" s="54" t="s">
        <v>147</v>
      </c>
      <c r="H155" s="54">
        <v>5</v>
      </c>
      <c r="I155" s="54">
        <v>0</v>
      </c>
      <c r="J155" s="54">
        <v>0</v>
      </c>
      <c r="K155" s="54">
        <v>14</v>
      </c>
      <c r="L155" s="23"/>
      <c r="N155" t="s">
        <v>161</v>
      </c>
    </row>
    <row r="156" spans="2:14" x14ac:dyDescent="0.25">
      <c r="B156" t="s">
        <v>161</v>
      </c>
      <c r="C156" s="58" t="s">
        <v>431</v>
      </c>
      <c r="D156" s="59" t="s">
        <v>152</v>
      </c>
      <c r="E156" s="57" t="s">
        <v>432</v>
      </c>
      <c r="F156" s="54" t="s">
        <v>152</v>
      </c>
      <c r="G156" s="54" t="s">
        <v>147</v>
      </c>
      <c r="H156" s="54">
        <v>5</v>
      </c>
      <c r="I156" s="54">
        <v>0</v>
      </c>
      <c r="J156" s="54">
        <v>0</v>
      </c>
      <c r="K156" s="54">
        <v>14</v>
      </c>
      <c r="L156" s="23"/>
      <c r="N156" t="s">
        <v>161</v>
      </c>
    </row>
    <row r="157" spans="2:14" x14ac:dyDescent="0.25">
      <c r="B157" t="s">
        <v>161</v>
      </c>
      <c r="C157" s="58" t="s">
        <v>433</v>
      </c>
      <c r="D157" s="59" t="s">
        <v>152</v>
      </c>
      <c r="E157" s="57" t="s">
        <v>434</v>
      </c>
      <c r="F157" s="54" t="s">
        <v>152</v>
      </c>
      <c r="G157" s="54" t="s">
        <v>147</v>
      </c>
      <c r="H157" s="54">
        <v>5</v>
      </c>
      <c r="I157" s="54">
        <v>0</v>
      </c>
      <c r="J157" s="54">
        <v>0</v>
      </c>
      <c r="K157" s="54">
        <v>14</v>
      </c>
      <c r="L157" s="23"/>
      <c r="N157" t="s">
        <v>161</v>
      </c>
    </row>
    <row r="158" spans="2:14" x14ac:dyDescent="0.25">
      <c r="B158" t="s">
        <v>161</v>
      </c>
      <c r="C158" s="58" t="s">
        <v>435</v>
      </c>
      <c r="D158" s="59" t="s">
        <v>152</v>
      </c>
      <c r="E158" s="57" t="s">
        <v>436</v>
      </c>
      <c r="F158" s="54" t="s">
        <v>152</v>
      </c>
      <c r="G158" s="54" t="s">
        <v>147</v>
      </c>
      <c r="H158" s="54">
        <v>5</v>
      </c>
      <c r="I158" s="54">
        <v>0</v>
      </c>
      <c r="J158" s="54">
        <v>0</v>
      </c>
      <c r="K158" s="54">
        <v>14</v>
      </c>
      <c r="L158" s="23"/>
      <c r="N158" t="s">
        <v>161</v>
      </c>
    </row>
    <row r="159" spans="2:14" x14ac:dyDescent="0.25">
      <c r="B159" t="s">
        <v>161</v>
      </c>
      <c r="C159" s="58" t="s">
        <v>437</v>
      </c>
      <c r="D159" s="59" t="s">
        <v>152</v>
      </c>
      <c r="E159" s="57" t="s">
        <v>438</v>
      </c>
      <c r="F159" s="54" t="s">
        <v>152</v>
      </c>
      <c r="G159" s="54" t="s">
        <v>147</v>
      </c>
      <c r="H159" s="54">
        <v>5</v>
      </c>
      <c r="I159" s="54">
        <v>0</v>
      </c>
      <c r="J159" s="54">
        <v>0</v>
      </c>
      <c r="K159" s="54">
        <v>14</v>
      </c>
      <c r="L159" s="23"/>
      <c r="N159" t="s">
        <v>161</v>
      </c>
    </row>
    <row r="160" spans="2:14" x14ac:dyDescent="0.25">
      <c r="B160" t="s">
        <v>161</v>
      </c>
      <c r="C160" s="58" t="s">
        <v>439</v>
      </c>
      <c r="D160" s="59" t="s">
        <v>152</v>
      </c>
      <c r="E160" s="57" t="s">
        <v>440</v>
      </c>
      <c r="F160" s="54" t="s">
        <v>152</v>
      </c>
      <c r="G160" s="54" t="s">
        <v>147</v>
      </c>
      <c r="H160" s="54">
        <v>5</v>
      </c>
      <c r="I160" s="54">
        <v>0</v>
      </c>
      <c r="J160" s="54">
        <v>0</v>
      </c>
      <c r="K160" s="54">
        <v>14</v>
      </c>
      <c r="L160" s="23"/>
      <c r="N160" t="s">
        <v>161</v>
      </c>
    </row>
    <row r="161" spans="2:14" x14ac:dyDescent="0.25">
      <c r="B161" t="s">
        <v>161</v>
      </c>
      <c r="C161" s="58" t="s">
        <v>441</v>
      </c>
      <c r="D161" s="59" t="s">
        <v>152</v>
      </c>
      <c r="E161" s="57" t="s">
        <v>442</v>
      </c>
      <c r="F161" s="54" t="s">
        <v>152</v>
      </c>
      <c r="G161" s="54" t="s">
        <v>147</v>
      </c>
      <c r="H161" s="54">
        <v>5</v>
      </c>
      <c r="I161" s="54">
        <v>0</v>
      </c>
      <c r="J161" s="54">
        <v>0</v>
      </c>
      <c r="K161" s="54">
        <v>14</v>
      </c>
      <c r="L161" s="23"/>
      <c r="N161" t="s">
        <v>161</v>
      </c>
    </row>
    <row r="162" spans="2:14" x14ac:dyDescent="0.25">
      <c r="B162" t="s">
        <v>161</v>
      </c>
      <c r="C162" s="58" t="s">
        <v>443</v>
      </c>
      <c r="D162" s="59" t="s">
        <v>152</v>
      </c>
      <c r="E162" s="57" t="s">
        <v>444</v>
      </c>
      <c r="F162" s="54" t="s">
        <v>152</v>
      </c>
      <c r="G162" s="54" t="s">
        <v>147</v>
      </c>
      <c r="H162" s="54">
        <v>5</v>
      </c>
      <c r="I162" s="54">
        <v>0</v>
      </c>
      <c r="J162" s="54">
        <v>0</v>
      </c>
      <c r="K162" s="54">
        <v>14</v>
      </c>
      <c r="L162" s="23"/>
      <c r="N162" t="s">
        <v>161</v>
      </c>
    </row>
    <row r="163" spans="2:14" x14ac:dyDescent="0.25">
      <c r="B163" t="s">
        <v>161</v>
      </c>
      <c r="C163" s="58" t="s">
        <v>445</v>
      </c>
      <c r="D163" s="59" t="s">
        <v>152</v>
      </c>
      <c r="E163" s="57" t="s">
        <v>446</v>
      </c>
      <c r="F163" s="54" t="s">
        <v>152</v>
      </c>
      <c r="G163" s="54" t="s">
        <v>147</v>
      </c>
      <c r="H163" s="54">
        <v>5</v>
      </c>
      <c r="I163" s="54">
        <v>0</v>
      </c>
      <c r="J163" s="54">
        <v>0</v>
      </c>
      <c r="K163" s="54">
        <v>14</v>
      </c>
      <c r="L163" s="23"/>
      <c r="N163" t="s">
        <v>161</v>
      </c>
    </row>
    <row r="164" spans="2:14" x14ac:dyDescent="0.25">
      <c r="B164" t="s">
        <v>161</v>
      </c>
      <c r="C164" s="58" t="s">
        <v>447</v>
      </c>
      <c r="D164" s="59" t="s">
        <v>152</v>
      </c>
      <c r="E164" s="57" t="s">
        <v>448</v>
      </c>
      <c r="F164" s="54" t="s">
        <v>152</v>
      </c>
      <c r="G164" s="54" t="s">
        <v>147</v>
      </c>
      <c r="H164" s="54">
        <v>5</v>
      </c>
      <c r="I164" s="54">
        <v>0</v>
      </c>
      <c r="J164" s="54">
        <v>0</v>
      </c>
      <c r="K164" s="54">
        <v>14</v>
      </c>
      <c r="L164" s="23"/>
      <c r="N164" t="s">
        <v>161</v>
      </c>
    </row>
    <row r="165" spans="2:14" x14ac:dyDescent="0.25">
      <c r="B165" t="s">
        <v>161</v>
      </c>
      <c r="C165" s="58" t="s">
        <v>449</v>
      </c>
      <c r="D165" s="59" t="s">
        <v>152</v>
      </c>
      <c r="E165" s="57" t="s">
        <v>446</v>
      </c>
      <c r="F165" s="54" t="s">
        <v>152</v>
      </c>
      <c r="G165" s="54" t="s">
        <v>147</v>
      </c>
      <c r="H165" s="54">
        <v>5</v>
      </c>
      <c r="I165" s="54">
        <v>0</v>
      </c>
      <c r="J165" s="54">
        <v>0</v>
      </c>
      <c r="K165" s="54">
        <v>14</v>
      </c>
      <c r="L165" s="23"/>
      <c r="N165" t="s">
        <v>161</v>
      </c>
    </row>
    <row r="166" spans="2:14" x14ac:dyDescent="0.25">
      <c r="B166" t="s">
        <v>161</v>
      </c>
      <c r="C166" s="58" t="s">
        <v>450</v>
      </c>
      <c r="D166" s="59" t="s">
        <v>152</v>
      </c>
      <c r="E166" s="57" t="s">
        <v>451</v>
      </c>
      <c r="F166" s="54" t="s">
        <v>152</v>
      </c>
      <c r="G166" s="54" t="s">
        <v>147</v>
      </c>
      <c r="H166" s="54">
        <v>5</v>
      </c>
      <c r="I166" s="54">
        <v>0</v>
      </c>
      <c r="J166" s="54">
        <v>0</v>
      </c>
      <c r="K166" s="54">
        <v>14</v>
      </c>
      <c r="L166" s="23"/>
      <c r="N166" t="s">
        <v>161</v>
      </c>
    </row>
    <row r="167" spans="2:14" x14ac:dyDescent="0.25">
      <c r="B167" t="s">
        <v>161</v>
      </c>
      <c r="C167" s="58" t="s">
        <v>452</v>
      </c>
      <c r="D167" s="59" t="s">
        <v>152</v>
      </c>
      <c r="E167" s="57" t="s">
        <v>453</v>
      </c>
      <c r="F167" s="54" t="s">
        <v>152</v>
      </c>
      <c r="G167" s="54" t="s">
        <v>147</v>
      </c>
      <c r="H167" s="54">
        <v>5</v>
      </c>
      <c r="I167" s="54">
        <v>0</v>
      </c>
      <c r="J167" s="54">
        <v>0</v>
      </c>
      <c r="K167" s="54">
        <v>14</v>
      </c>
      <c r="L167" s="23"/>
      <c r="N167" t="s">
        <v>161</v>
      </c>
    </row>
    <row r="168" spans="2:14" x14ac:dyDescent="0.25">
      <c r="B168" t="s">
        <v>161</v>
      </c>
      <c r="C168" s="58" t="s">
        <v>454</v>
      </c>
      <c r="D168" s="59" t="s">
        <v>152</v>
      </c>
      <c r="E168" s="57" t="s">
        <v>455</v>
      </c>
      <c r="F168" s="54" t="s">
        <v>152</v>
      </c>
      <c r="G168" s="54" t="s">
        <v>147</v>
      </c>
      <c r="H168" s="54">
        <v>5</v>
      </c>
      <c r="I168" s="54">
        <v>0</v>
      </c>
      <c r="J168" s="54">
        <v>0</v>
      </c>
      <c r="K168" s="54">
        <v>14</v>
      </c>
      <c r="L168" s="23"/>
      <c r="N168" t="s">
        <v>161</v>
      </c>
    </row>
    <row r="169" spans="2:14" x14ac:dyDescent="0.25">
      <c r="B169" t="s">
        <v>161</v>
      </c>
      <c r="C169" s="58" t="s">
        <v>456</v>
      </c>
      <c r="D169" s="59" t="s">
        <v>152</v>
      </c>
      <c r="E169" s="57" t="s">
        <v>457</v>
      </c>
      <c r="F169" s="54" t="s">
        <v>152</v>
      </c>
      <c r="G169" s="54" t="s">
        <v>147</v>
      </c>
      <c r="H169" s="54">
        <v>5</v>
      </c>
      <c r="I169" s="54">
        <v>0</v>
      </c>
      <c r="J169" s="54">
        <v>0</v>
      </c>
      <c r="K169" s="54">
        <v>14</v>
      </c>
      <c r="L169" s="23"/>
      <c r="N169" t="s">
        <v>161</v>
      </c>
    </row>
    <row r="170" spans="2:14" x14ac:dyDescent="0.25">
      <c r="B170" t="s">
        <v>161</v>
      </c>
      <c r="C170" s="58" t="s">
        <v>458</v>
      </c>
      <c r="D170" s="59" t="s">
        <v>152</v>
      </c>
      <c r="E170" s="57" t="s">
        <v>459</v>
      </c>
      <c r="F170" s="54" t="s">
        <v>152</v>
      </c>
      <c r="G170" s="54" t="s">
        <v>147</v>
      </c>
      <c r="H170" s="54">
        <v>5</v>
      </c>
      <c r="I170" s="54">
        <v>0</v>
      </c>
      <c r="J170" s="54">
        <v>0</v>
      </c>
      <c r="K170" s="54">
        <v>14</v>
      </c>
      <c r="L170" s="23"/>
      <c r="N170" t="s">
        <v>161</v>
      </c>
    </row>
    <row r="171" spans="2:14" x14ac:dyDescent="0.25">
      <c r="B171" t="s">
        <v>161</v>
      </c>
      <c r="C171" s="58" t="s">
        <v>460</v>
      </c>
      <c r="D171" s="59" t="s">
        <v>152</v>
      </c>
      <c r="E171" s="57" t="s">
        <v>461</v>
      </c>
      <c r="F171" s="54" t="s">
        <v>152</v>
      </c>
      <c r="G171" s="54" t="s">
        <v>147</v>
      </c>
      <c r="H171" s="54">
        <v>5</v>
      </c>
      <c r="I171" s="54">
        <v>0</v>
      </c>
      <c r="J171" s="54">
        <v>0</v>
      </c>
      <c r="K171" s="54">
        <v>14</v>
      </c>
      <c r="L171" s="23"/>
      <c r="N171" t="s">
        <v>161</v>
      </c>
    </row>
    <row r="172" spans="2:14" x14ac:dyDescent="0.25">
      <c r="B172" t="s">
        <v>161</v>
      </c>
      <c r="C172" s="58" t="s">
        <v>462</v>
      </c>
      <c r="D172" s="59" t="s">
        <v>152</v>
      </c>
      <c r="E172" s="57" t="s">
        <v>455</v>
      </c>
      <c r="F172" s="54" t="s">
        <v>152</v>
      </c>
      <c r="G172" s="54" t="s">
        <v>147</v>
      </c>
      <c r="H172" s="54">
        <v>5</v>
      </c>
      <c r="I172" s="54">
        <v>0</v>
      </c>
      <c r="J172" s="54">
        <v>0</v>
      </c>
      <c r="K172" s="54">
        <v>14</v>
      </c>
      <c r="L172" s="23"/>
      <c r="N172" t="s">
        <v>161</v>
      </c>
    </row>
    <row r="173" spans="2:14" x14ac:dyDescent="0.25">
      <c r="B173" t="s">
        <v>161</v>
      </c>
      <c r="C173" s="58" t="s">
        <v>463</v>
      </c>
      <c r="D173" s="59" t="s">
        <v>152</v>
      </c>
      <c r="E173" s="57" t="s">
        <v>464</v>
      </c>
      <c r="F173" s="54" t="s">
        <v>152</v>
      </c>
      <c r="G173" s="54" t="s">
        <v>147</v>
      </c>
      <c r="H173" s="54">
        <v>5</v>
      </c>
      <c r="I173" s="54">
        <v>0</v>
      </c>
      <c r="J173" s="54">
        <v>0</v>
      </c>
      <c r="K173" s="54">
        <v>14</v>
      </c>
      <c r="L173" s="23"/>
      <c r="N173" t="s">
        <v>161</v>
      </c>
    </row>
    <row r="174" spans="2:14" x14ac:dyDescent="0.25">
      <c r="B174" t="s">
        <v>161</v>
      </c>
      <c r="C174" s="58" t="s">
        <v>465</v>
      </c>
      <c r="D174" s="59" t="s">
        <v>152</v>
      </c>
      <c r="E174" s="57" t="s">
        <v>466</v>
      </c>
      <c r="F174" s="54" t="s">
        <v>152</v>
      </c>
      <c r="G174" s="54" t="s">
        <v>147</v>
      </c>
      <c r="H174" s="54">
        <v>5</v>
      </c>
      <c r="I174" s="54">
        <v>0</v>
      </c>
      <c r="J174" s="54">
        <v>0</v>
      </c>
      <c r="K174" s="54">
        <v>14</v>
      </c>
      <c r="L174" s="23"/>
      <c r="N174" t="s">
        <v>161</v>
      </c>
    </row>
    <row r="175" spans="2:14" x14ac:dyDescent="0.25">
      <c r="B175" t="s">
        <v>161</v>
      </c>
      <c r="C175" s="58" t="s">
        <v>467</v>
      </c>
      <c r="D175" s="59" t="s">
        <v>152</v>
      </c>
      <c r="E175" s="57" t="s">
        <v>446</v>
      </c>
      <c r="F175" s="54" t="s">
        <v>152</v>
      </c>
      <c r="G175" s="54" t="s">
        <v>147</v>
      </c>
      <c r="H175" s="54">
        <v>5</v>
      </c>
      <c r="I175" s="54">
        <v>0</v>
      </c>
      <c r="J175" s="54">
        <v>0</v>
      </c>
      <c r="K175" s="54">
        <v>14</v>
      </c>
      <c r="L175" s="23"/>
      <c r="N175" t="s">
        <v>161</v>
      </c>
    </row>
    <row r="176" spans="2:14" x14ac:dyDescent="0.25">
      <c r="B176" t="s">
        <v>161</v>
      </c>
      <c r="C176" s="58" t="s">
        <v>468</v>
      </c>
      <c r="D176" s="59" t="s">
        <v>152</v>
      </c>
      <c r="E176" s="57" t="s">
        <v>469</v>
      </c>
      <c r="F176" s="54" t="s">
        <v>152</v>
      </c>
      <c r="G176" s="54" t="s">
        <v>147</v>
      </c>
      <c r="H176" s="54">
        <v>5</v>
      </c>
      <c r="I176" s="54">
        <v>0</v>
      </c>
      <c r="J176" s="54">
        <v>0</v>
      </c>
      <c r="K176" s="54">
        <v>14</v>
      </c>
      <c r="L176" s="23"/>
      <c r="N176" t="s">
        <v>161</v>
      </c>
    </row>
    <row r="177" spans="2:14" x14ac:dyDescent="0.25">
      <c r="B177" t="s">
        <v>161</v>
      </c>
      <c r="C177" s="58" t="s">
        <v>470</v>
      </c>
      <c r="D177" s="59" t="s">
        <v>151</v>
      </c>
      <c r="E177" s="57" t="s">
        <v>471</v>
      </c>
      <c r="F177" s="54" t="s">
        <v>151</v>
      </c>
      <c r="G177" s="54" t="s">
        <v>410</v>
      </c>
      <c r="H177" s="54">
        <v>5</v>
      </c>
      <c r="I177" s="54">
        <v>0</v>
      </c>
      <c r="J177" s="54">
        <v>0</v>
      </c>
      <c r="K177" s="54">
        <v>14</v>
      </c>
      <c r="L177" s="23"/>
      <c r="N177" t="s">
        <v>161</v>
      </c>
    </row>
    <row r="178" spans="2:14" x14ac:dyDescent="0.25">
      <c r="B178" t="s">
        <v>161</v>
      </c>
      <c r="C178" s="58" t="s">
        <v>472</v>
      </c>
      <c r="D178" s="59" t="s">
        <v>151</v>
      </c>
      <c r="E178" s="57" t="s">
        <v>473</v>
      </c>
      <c r="F178" s="54" t="s">
        <v>151</v>
      </c>
      <c r="G178" s="54" t="s">
        <v>410</v>
      </c>
      <c r="H178" s="54">
        <v>5</v>
      </c>
      <c r="I178" s="54">
        <v>0</v>
      </c>
      <c r="J178" s="54">
        <v>0</v>
      </c>
      <c r="K178" s="54">
        <v>14</v>
      </c>
      <c r="L178" s="23"/>
      <c r="N178" t="s">
        <v>161</v>
      </c>
    </row>
    <row r="179" spans="2:14" x14ac:dyDescent="0.25">
      <c r="B179" t="s">
        <v>161</v>
      </c>
      <c r="C179" s="58" t="s">
        <v>474</v>
      </c>
      <c r="D179" s="59" t="s">
        <v>152</v>
      </c>
      <c r="E179" s="57" t="s">
        <v>475</v>
      </c>
      <c r="F179" s="54" t="s">
        <v>152</v>
      </c>
      <c r="G179" s="54" t="s">
        <v>147</v>
      </c>
      <c r="H179" s="54">
        <v>5</v>
      </c>
      <c r="I179" s="54">
        <v>0</v>
      </c>
      <c r="J179" s="54">
        <v>0</v>
      </c>
      <c r="K179" s="54">
        <v>14</v>
      </c>
      <c r="L179" s="23"/>
      <c r="N179" t="s">
        <v>161</v>
      </c>
    </row>
    <row r="180" spans="2:14" x14ac:dyDescent="0.25">
      <c r="B180" t="s">
        <v>161</v>
      </c>
      <c r="C180" s="58" t="s">
        <v>476</v>
      </c>
      <c r="D180" s="59" t="s">
        <v>152</v>
      </c>
      <c r="E180" s="57" t="s">
        <v>477</v>
      </c>
      <c r="F180" s="54" t="s">
        <v>152</v>
      </c>
      <c r="G180" s="54" t="s">
        <v>147</v>
      </c>
      <c r="H180" s="54">
        <v>5</v>
      </c>
      <c r="I180" s="54">
        <v>0</v>
      </c>
      <c r="J180" s="54">
        <v>0</v>
      </c>
      <c r="K180" s="54">
        <v>14</v>
      </c>
      <c r="L180" s="23"/>
      <c r="N180" t="s">
        <v>161</v>
      </c>
    </row>
    <row r="181" spans="2:14" x14ac:dyDescent="0.25">
      <c r="B181" t="s">
        <v>161</v>
      </c>
      <c r="C181" s="58" t="s">
        <v>478</v>
      </c>
      <c r="D181" s="59" t="s">
        <v>152</v>
      </c>
      <c r="E181" s="57" t="s">
        <v>479</v>
      </c>
      <c r="F181" s="54" t="s">
        <v>152</v>
      </c>
      <c r="G181" s="54" t="s">
        <v>147</v>
      </c>
      <c r="H181" s="54">
        <v>5</v>
      </c>
      <c r="I181" s="54">
        <v>0</v>
      </c>
      <c r="J181" s="54">
        <v>0</v>
      </c>
      <c r="K181" s="54">
        <v>14</v>
      </c>
      <c r="L181" s="23"/>
      <c r="N181" t="s">
        <v>161</v>
      </c>
    </row>
    <row r="182" spans="2:14" x14ac:dyDescent="0.25">
      <c r="B182" t="s">
        <v>161</v>
      </c>
      <c r="C182" s="58" t="s">
        <v>480</v>
      </c>
      <c r="D182" s="59" t="s">
        <v>152</v>
      </c>
      <c r="E182" s="57" t="s">
        <v>481</v>
      </c>
      <c r="F182" s="54" t="s">
        <v>152</v>
      </c>
      <c r="G182" s="54" t="s">
        <v>147</v>
      </c>
      <c r="H182" s="54">
        <v>5</v>
      </c>
      <c r="I182" s="54">
        <v>0</v>
      </c>
      <c r="J182" s="54">
        <v>0</v>
      </c>
      <c r="K182" s="54">
        <v>14</v>
      </c>
      <c r="L182" s="23"/>
      <c r="N182" t="s">
        <v>161</v>
      </c>
    </row>
    <row r="183" spans="2:14" x14ac:dyDescent="0.25">
      <c r="B183" t="s">
        <v>161</v>
      </c>
      <c r="C183" s="58" t="s">
        <v>482</v>
      </c>
      <c r="D183" s="59" t="s">
        <v>152</v>
      </c>
      <c r="E183" s="57" t="s">
        <v>483</v>
      </c>
      <c r="F183" s="54" t="s">
        <v>152</v>
      </c>
      <c r="G183" s="54" t="s">
        <v>147</v>
      </c>
      <c r="H183" s="54">
        <v>5</v>
      </c>
      <c r="I183" s="54">
        <v>0</v>
      </c>
      <c r="J183" s="54">
        <v>0</v>
      </c>
      <c r="K183" s="54">
        <v>14</v>
      </c>
      <c r="L183" s="23"/>
      <c r="N183" t="s">
        <v>161</v>
      </c>
    </row>
    <row r="184" spans="2:14" x14ac:dyDescent="0.25">
      <c r="B184" t="s">
        <v>161</v>
      </c>
      <c r="C184" s="58" t="s">
        <v>484</v>
      </c>
      <c r="D184" s="59" t="s">
        <v>152</v>
      </c>
      <c r="E184" s="57" t="s">
        <v>485</v>
      </c>
      <c r="F184" s="54" t="s">
        <v>152</v>
      </c>
      <c r="G184" s="54" t="s">
        <v>147</v>
      </c>
      <c r="H184" s="54">
        <v>5</v>
      </c>
      <c r="I184" s="54">
        <v>0</v>
      </c>
      <c r="J184" s="54">
        <v>0</v>
      </c>
      <c r="K184" s="54">
        <v>14</v>
      </c>
      <c r="L184" s="23"/>
      <c r="N184" t="s">
        <v>161</v>
      </c>
    </row>
    <row r="185" spans="2:14" x14ac:dyDescent="0.25">
      <c r="B185" t="s">
        <v>161</v>
      </c>
      <c r="C185" s="58" t="s">
        <v>486</v>
      </c>
      <c r="D185" s="59" t="s">
        <v>152</v>
      </c>
      <c r="E185" s="57" t="s">
        <v>487</v>
      </c>
      <c r="F185" s="54" t="s">
        <v>152</v>
      </c>
      <c r="G185" s="54" t="s">
        <v>147</v>
      </c>
      <c r="H185" s="54">
        <v>5</v>
      </c>
      <c r="I185" s="54">
        <v>0</v>
      </c>
      <c r="J185" s="54">
        <v>0</v>
      </c>
      <c r="K185" s="54">
        <v>14</v>
      </c>
      <c r="L185" s="23"/>
      <c r="N185" t="s">
        <v>161</v>
      </c>
    </row>
    <row r="186" spans="2:14" x14ac:dyDescent="0.25">
      <c r="B186" t="s">
        <v>161</v>
      </c>
      <c r="C186" s="58" t="s">
        <v>488</v>
      </c>
      <c r="D186" s="59" t="s">
        <v>152</v>
      </c>
      <c r="E186" s="57" t="s">
        <v>489</v>
      </c>
      <c r="F186" s="54" t="s">
        <v>152</v>
      </c>
      <c r="G186" s="54" t="s">
        <v>147</v>
      </c>
      <c r="H186" s="54">
        <v>5</v>
      </c>
      <c r="I186" s="54">
        <v>0</v>
      </c>
      <c r="J186" s="54">
        <v>0</v>
      </c>
      <c r="K186" s="54">
        <v>14</v>
      </c>
      <c r="L186" s="23"/>
      <c r="N186" t="s">
        <v>161</v>
      </c>
    </row>
    <row r="187" spans="2:14" x14ac:dyDescent="0.25">
      <c r="B187" t="s">
        <v>161</v>
      </c>
      <c r="C187" s="58" t="s">
        <v>490</v>
      </c>
      <c r="D187" s="59" t="s">
        <v>152</v>
      </c>
      <c r="E187" s="57" t="s">
        <v>491</v>
      </c>
      <c r="F187" s="54" t="s">
        <v>152</v>
      </c>
      <c r="G187" s="54" t="s">
        <v>147</v>
      </c>
      <c r="H187" s="54">
        <v>5</v>
      </c>
      <c r="I187" s="54">
        <v>0</v>
      </c>
      <c r="J187" s="54">
        <v>0</v>
      </c>
      <c r="K187" s="54">
        <v>14</v>
      </c>
      <c r="L187" s="23"/>
      <c r="N187" t="s">
        <v>161</v>
      </c>
    </row>
    <row r="188" spans="2:14" x14ac:dyDescent="0.25">
      <c r="B188" t="s">
        <v>161</v>
      </c>
      <c r="C188" s="58" t="s">
        <v>492</v>
      </c>
      <c r="D188" s="59" t="s">
        <v>152</v>
      </c>
      <c r="E188" s="57" t="s">
        <v>493</v>
      </c>
      <c r="F188" s="54" t="s">
        <v>152</v>
      </c>
      <c r="G188" s="54" t="s">
        <v>147</v>
      </c>
      <c r="H188" s="54">
        <v>5</v>
      </c>
      <c r="I188" s="54">
        <v>0</v>
      </c>
      <c r="J188" s="54">
        <v>0</v>
      </c>
      <c r="K188" s="54">
        <v>14</v>
      </c>
      <c r="L188" s="23"/>
      <c r="N188" t="s">
        <v>161</v>
      </c>
    </row>
    <row r="189" spans="2:14" x14ac:dyDescent="0.25">
      <c r="B189" t="s">
        <v>161</v>
      </c>
      <c r="C189" s="58" t="s">
        <v>494</v>
      </c>
      <c r="D189" s="59" t="s">
        <v>152</v>
      </c>
      <c r="E189" s="57" t="s">
        <v>495</v>
      </c>
      <c r="F189" s="54" t="s">
        <v>152</v>
      </c>
      <c r="G189" s="54" t="s">
        <v>147</v>
      </c>
      <c r="H189" s="54">
        <v>5</v>
      </c>
      <c r="I189" s="54">
        <v>0</v>
      </c>
      <c r="J189" s="54">
        <v>0</v>
      </c>
      <c r="K189" s="54">
        <v>14</v>
      </c>
      <c r="L189" s="23"/>
      <c r="N189" t="s">
        <v>161</v>
      </c>
    </row>
    <row r="190" spans="2:14" x14ac:dyDescent="0.25">
      <c r="B190" t="s">
        <v>161</v>
      </c>
      <c r="C190" s="58" t="s">
        <v>496</v>
      </c>
      <c r="D190" s="59" t="s">
        <v>152</v>
      </c>
      <c r="E190" s="57" t="s">
        <v>497</v>
      </c>
      <c r="F190" s="54" t="s">
        <v>152</v>
      </c>
      <c r="G190" s="54" t="s">
        <v>147</v>
      </c>
      <c r="H190" s="54">
        <v>5</v>
      </c>
      <c r="I190" s="54">
        <v>0</v>
      </c>
      <c r="J190" s="54">
        <v>0</v>
      </c>
      <c r="K190" s="54">
        <v>14</v>
      </c>
      <c r="L190" s="23"/>
      <c r="N190" t="s">
        <v>161</v>
      </c>
    </row>
    <row r="191" spans="2:14" x14ac:dyDescent="0.25">
      <c r="B191" t="s">
        <v>161</v>
      </c>
      <c r="C191" s="58" t="s">
        <v>498</v>
      </c>
      <c r="D191" s="59" t="s">
        <v>152</v>
      </c>
      <c r="E191" s="57" t="s">
        <v>499</v>
      </c>
      <c r="F191" s="54" t="s">
        <v>152</v>
      </c>
      <c r="G191" s="54" t="s">
        <v>147</v>
      </c>
      <c r="H191" s="54">
        <v>5</v>
      </c>
      <c r="I191" s="54">
        <v>0</v>
      </c>
      <c r="J191" s="54">
        <v>0</v>
      </c>
      <c r="K191" s="54">
        <v>14</v>
      </c>
      <c r="L191" s="23"/>
      <c r="N191" t="s">
        <v>161</v>
      </c>
    </row>
    <row r="192" spans="2:14" x14ac:dyDescent="0.25">
      <c r="B192" t="s">
        <v>161</v>
      </c>
      <c r="C192" s="58" t="s">
        <v>500</v>
      </c>
      <c r="D192" s="59" t="s">
        <v>152</v>
      </c>
      <c r="E192" s="57" t="s">
        <v>501</v>
      </c>
      <c r="F192" s="54" t="s">
        <v>152</v>
      </c>
      <c r="G192" s="54" t="s">
        <v>147</v>
      </c>
      <c r="H192" s="54">
        <v>5</v>
      </c>
      <c r="I192" s="54">
        <v>0</v>
      </c>
      <c r="J192" s="54">
        <v>0</v>
      </c>
      <c r="K192" s="54">
        <v>14</v>
      </c>
      <c r="L192" s="23"/>
      <c r="N192" t="s">
        <v>161</v>
      </c>
    </row>
    <row r="193" spans="2:14" x14ac:dyDescent="0.25">
      <c r="B193" t="s">
        <v>161</v>
      </c>
      <c r="C193" s="58" t="s">
        <v>502</v>
      </c>
      <c r="D193" s="59" t="s">
        <v>152</v>
      </c>
      <c r="E193" s="57" t="s">
        <v>503</v>
      </c>
      <c r="F193" s="54" t="s">
        <v>152</v>
      </c>
      <c r="G193" s="54" t="s">
        <v>147</v>
      </c>
      <c r="H193" s="54">
        <v>5</v>
      </c>
      <c r="I193" s="54">
        <v>0</v>
      </c>
      <c r="J193" s="54">
        <v>0</v>
      </c>
      <c r="K193" s="54">
        <v>14</v>
      </c>
      <c r="L193" s="23"/>
      <c r="N193" t="s">
        <v>161</v>
      </c>
    </row>
    <row r="194" spans="2:14" x14ac:dyDescent="0.25">
      <c r="B194" t="s">
        <v>161</v>
      </c>
      <c r="C194" s="58" t="s">
        <v>504</v>
      </c>
      <c r="D194" s="59" t="s">
        <v>152</v>
      </c>
      <c r="E194" s="57" t="s">
        <v>505</v>
      </c>
      <c r="F194" s="54" t="s">
        <v>152</v>
      </c>
      <c r="G194" s="54" t="s">
        <v>147</v>
      </c>
      <c r="H194" s="54">
        <v>5</v>
      </c>
      <c r="I194" s="54">
        <v>0</v>
      </c>
      <c r="J194" s="54">
        <v>0</v>
      </c>
      <c r="K194" s="54">
        <v>14</v>
      </c>
      <c r="L194" s="23"/>
      <c r="N194" t="s">
        <v>161</v>
      </c>
    </row>
    <row r="195" spans="2:14" x14ac:dyDescent="0.25">
      <c r="B195" t="s">
        <v>161</v>
      </c>
      <c r="C195" s="58" t="s">
        <v>506</v>
      </c>
      <c r="D195" s="59" t="s">
        <v>152</v>
      </c>
      <c r="E195" s="57" t="s">
        <v>507</v>
      </c>
      <c r="F195" s="54" t="s">
        <v>152</v>
      </c>
      <c r="G195" s="54" t="s">
        <v>147</v>
      </c>
      <c r="H195" s="54">
        <v>5</v>
      </c>
      <c r="I195" s="54">
        <v>0</v>
      </c>
      <c r="J195" s="54">
        <v>0</v>
      </c>
      <c r="K195" s="54">
        <v>14</v>
      </c>
      <c r="L195" s="23"/>
      <c r="N195" t="s">
        <v>161</v>
      </c>
    </row>
    <row r="196" spans="2:14" x14ac:dyDescent="0.25">
      <c r="B196" t="s">
        <v>161</v>
      </c>
      <c r="C196" s="58" t="s">
        <v>508</v>
      </c>
      <c r="D196" s="59" t="s">
        <v>152</v>
      </c>
      <c r="E196" s="57" t="s">
        <v>509</v>
      </c>
      <c r="F196" s="54" t="s">
        <v>152</v>
      </c>
      <c r="G196" s="54" t="s">
        <v>147</v>
      </c>
      <c r="H196" s="54">
        <v>5</v>
      </c>
      <c r="I196" s="54">
        <v>0</v>
      </c>
      <c r="J196" s="54">
        <v>0</v>
      </c>
      <c r="K196" s="54">
        <v>14</v>
      </c>
      <c r="L196" s="23"/>
      <c r="N196" t="s">
        <v>161</v>
      </c>
    </row>
    <row r="197" spans="2:14" x14ac:dyDescent="0.25">
      <c r="B197" t="s">
        <v>161</v>
      </c>
      <c r="C197" s="58" t="s">
        <v>510</v>
      </c>
      <c r="D197" s="59" t="s">
        <v>152</v>
      </c>
      <c r="E197" s="57" t="s">
        <v>511</v>
      </c>
      <c r="F197" s="54" t="s">
        <v>152</v>
      </c>
      <c r="G197" s="54" t="s">
        <v>147</v>
      </c>
      <c r="H197" s="54">
        <v>5</v>
      </c>
      <c r="I197" s="54">
        <v>0</v>
      </c>
      <c r="J197" s="54">
        <v>0</v>
      </c>
      <c r="K197" s="54">
        <v>14</v>
      </c>
      <c r="L197" s="23"/>
      <c r="N197" t="s">
        <v>161</v>
      </c>
    </row>
    <row r="198" spans="2:14" x14ac:dyDescent="0.25">
      <c r="B198" t="s">
        <v>161</v>
      </c>
      <c r="C198" s="58" t="s">
        <v>512</v>
      </c>
      <c r="D198" s="59" t="s">
        <v>152</v>
      </c>
      <c r="E198" s="57" t="s">
        <v>513</v>
      </c>
      <c r="F198" s="54" t="s">
        <v>152</v>
      </c>
      <c r="G198" s="54" t="s">
        <v>147</v>
      </c>
      <c r="H198" s="54">
        <v>5</v>
      </c>
      <c r="I198" s="54">
        <v>0</v>
      </c>
      <c r="J198" s="54">
        <v>0</v>
      </c>
      <c r="K198" s="54">
        <v>14</v>
      </c>
      <c r="L198" s="23"/>
      <c r="N198" t="s">
        <v>161</v>
      </c>
    </row>
    <row r="199" spans="2:14" x14ac:dyDescent="0.25">
      <c r="B199" t="s">
        <v>161</v>
      </c>
      <c r="C199" s="58" t="s">
        <v>514</v>
      </c>
      <c r="D199" s="59" t="s">
        <v>152</v>
      </c>
      <c r="E199" s="57" t="s">
        <v>515</v>
      </c>
      <c r="F199" s="54" t="s">
        <v>152</v>
      </c>
      <c r="G199" s="54" t="s">
        <v>147</v>
      </c>
      <c r="H199" s="54">
        <v>5</v>
      </c>
      <c r="I199" s="54">
        <v>0</v>
      </c>
      <c r="J199" s="54">
        <v>0</v>
      </c>
      <c r="K199" s="54">
        <v>14</v>
      </c>
      <c r="L199" s="23"/>
      <c r="N199" t="s">
        <v>161</v>
      </c>
    </row>
    <row r="200" spans="2:14" x14ac:dyDescent="0.25">
      <c r="B200" t="s">
        <v>161</v>
      </c>
      <c r="C200" s="58" t="s">
        <v>516</v>
      </c>
      <c r="D200" s="59" t="s">
        <v>152</v>
      </c>
      <c r="E200" s="57" t="s">
        <v>517</v>
      </c>
      <c r="F200" s="54" t="s">
        <v>152</v>
      </c>
      <c r="G200" s="54" t="s">
        <v>147</v>
      </c>
      <c r="H200" s="54">
        <v>5</v>
      </c>
      <c r="I200" s="54">
        <v>0</v>
      </c>
      <c r="J200" s="54">
        <v>0</v>
      </c>
      <c r="K200" s="54">
        <v>14</v>
      </c>
      <c r="L200" s="23"/>
      <c r="N200" t="s">
        <v>161</v>
      </c>
    </row>
    <row r="201" spans="2:14" x14ac:dyDescent="0.25">
      <c r="B201" t="s">
        <v>161</v>
      </c>
      <c r="C201" s="58" t="s">
        <v>518</v>
      </c>
      <c r="D201" s="59" t="s">
        <v>152</v>
      </c>
      <c r="E201" s="57" t="s">
        <v>519</v>
      </c>
      <c r="F201" s="54" t="s">
        <v>152</v>
      </c>
      <c r="G201" s="54" t="s">
        <v>147</v>
      </c>
      <c r="H201" s="54">
        <v>5</v>
      </c>
      <c r="I201" s="54">
        <v>0</v>
      </c>
      <c r="J201" s="54">
        <v>0</v>
      </c>
      <c r="K201" s="54">
        <v>14</v>
      </c>
      <c r="L201" s="23"/>
      <c r="N201" t="s">
        <v>161</v>
      </c>
    </row>
    <row r="202" spans="2:14" x14ac:dyDescent="0.25">
      <c r="B202" t="s">
        <v>161</v>
      </c>
      <c r="C202" s="58" t="s">
        <v>520</v>
      </c>
      <c r="D202" s="59" t="s">
        <v>152</v>
      </c>
      <c r="E202" s="57" t="s">
        <v>521</v>
      </c>
      <c r="F202" s="54" t="s">
        <v>152</v>
      </c>
      <c r="G202" s="54" t="s">
        <v>147</v>
      </c>
      <c r="H202" s="54">
        <v>5</v>
      </c>
      <c r="I202" s="54">
        <v>0</v>
      </c>
      <c r="J202" s="54">
        <v>0</v>
      </c>
      <c r="K202" s="54">
        <v>14</v>
      </c>
      <c r="L202" s="23"/>
      <c r="N202" t="s">
        <v>161</v>
      </c>
    </row>
    <row r="203" spans="2:14" x14ac:dyDescent="0.25">
      <c r="B203" t="s">
        <v>161</v>
      </c>
      <c r="C203" s="58" t="s">
        <v>522</v>
      </c>
      <c r="D203" s="59" t="s">
        <v>152</v>
      </c>
      <c r="E203" s="57" t="s">
        <v>523</v>
      </c>
      <c r="F203" s="54" t="s">
        <v>152</v>
      </c>
      <c r="G203" s="54" t="s">
        <v>147</v>
      </c>
      <c r="H203" s="54">
        <v>5</v>
      </c>
      <c r="I203" s="54">
        <v>0</v>
      </c>
      <c r="J203" s="54">
        <v>20.9</v>
      </c>
      <c r="K203" s="54">
        <v>14</v>
      </c>
      <c r="L203" s="23"/>
      <c r="N203" t="s">
        <v>161</v>
      </c>
    </row>
    <row r="204" spans="2:14" x14ac:dyDescent="0.25">
      <c r="B204" t="s">
        <v>161</v>
      </c>
      <c r="C204" s="58" t="s">
        <v>524</v>
      </c>
      <c r="D204" s="59" t="s">
        <v>152</v>
      </c>
      <c r="E204" s="57" t="s">
        <v>525</v>
      </c>
      <c r="F204" s="54" t="s">
        <v>152</v>
      </c>
      <c r="G204" s="54" t="s">
        <v>147</v>
      </c>
      <c r="H204" s="54">
        <v>5</v>
      </c>
      <c r="I204" s="54">
        <v>0</v>
      </c>
      <c r="J204" s="54">
        <v>13.9</v>
      </c>
      <c r="K204" s="54">
        <v>14</v>
      </c>
      <c r="L204" s="23"/>
      <c r="N204" t="s">
        <v>161</v>
      </c>
    </row>
    <row r="205" spans="2:14" x14ac:dyDescent="0.25">
      <c r="B205" t="s">
        <v>161</v>
      </c>
      <c r="C205" s="58" t="s">
        <v>526</v>
      </c>
      <c r="D205" s="59" t="s">
        <v>152</v>
      </c>
      <c r="E205" s="57" t="s">
        <v>527</v>
      </c>
      <c r="F205" s="54" t="s">
        <v>152</v>
      </c>
      <c r="G205" s="54" t="s">
        <v>147</v>
      </c>
      <c r="H205" s="54">
        <v>5</v>
      </c>
      <c r="I205" s="54">
        <v>0</v>
      </c>
      <c r="J205" s="54">
        <v>0</v>
      </c>
      <c r="K205" s="54">
        <v>14</v>
      </c>
      <c r="L205" s="23"/>
      <c r="N205" t="s">
        <v>161</v>
      </c>
    </row>
    <row r="206" spans="2:14" x14ac:dyDescent="0.25">
      <c r="B206" t="s">
        <v>161</v>
      </c>
      <c r="C206" s="58" t="s">
        <v>528</v>
      </c>
      <c r="D206" s="59" t="s">
        <v>152</v>
      </c>
      <c r="E206" s="57" t="s">
        <v>529</v>
      </c>
      <c r="F206" s="54" t="s">
        <v>152</v>
      </c>
      <c r="G206" s="54" t="s">
        <v>147</v>
      </c>
      <c r="H206" s="54">
        <v>5</v>
      </c>
      <c r="I206" s="54">
        <v>0</v>
      </c>
      <c r="J206" s="54">
        <v>0</v>
      </c>
      <c r="K206" s="54">
        <v>14</v>
      </c>
      <c r="L206" s="23"/>
      <c r="N206" t="s">
        <v>161</v>
      </c>
    </row>
    <row r="207" spans="2:14" x14ac:dyDescent="0.25">
      <c r="B207" t="s">
        <v>161</v>
      </c>
      <c r="C207" s="58" t="s">
        <v>530</v>
      </c>
      <c r="D207" s="59" t="s">
        <v>152</v>
      </c>
      <c r="E207" s="57" t="s">
        <v>531</v>
      </c>
      <c r="F207" s="54" t="s">
        <v>152</v>
      </c>
      <c r="G207" s="54" t="s">
        <v>147</v>
      </c>
      <c r="H207" s="54">
        <v>5</v>
      </c>
      <c r="I207" s="54">
        <v>0</v>
      </c>
      <c r="J207" s="54">
        <v>0</v>
      </c>
      <c r="K207" s="54">
        <v>14</v>
      </c>
      <c r="L207" s="23"/>
      <c r="N207" t="s">
        <v>161</v>
      </c>
    </row>
    <row r="208" spans="2:14" x14ac:dyDescent="0.25">
      <c r="B208" t="s">
        <v>161</v>
      </c>
      <c r="C208" s="58" t="s">
        <v>532</v>
      </c>
      <c r="D208" s="59" t="s">
        <v>152</v>
      </c>
      <c r="E208" s="57" t="s">
        <v>533</v>
      </c>
      <c r="F208" s="54" t="s">
        <v>152</v>
      </c>
      <c r="G208" s="54" t="s">
        <v>147</v>
      </c>
      <c r="H208" s="54">
        <v>5</v>
      </c>
      <c r="I208" s="54">
        <v>0</v>
      </c>
      <c r="J208" s="54">
        <v>0</v>
      </c>
      <c r="K208" s="54">
        <v>14</v>
      </c>
      <c r="L208" s="23"/>
      <c r="N208" t="s">
        <v>161</v>
      </c>
    </row>
    <row r="209" spans="2:14" x14ac:dyDescent="0.25">
      <c r="B209" t="s">
        <v>161</v>
      </c>
      <c r="C209" s="58" t="s">
        <v>534</v>
      </c>
      <c r="D209" s="59" t="s">
        <v>152</v>
      </c>
      <c r="E209" s="57" t="s">
        <v>535</v>
      </c>
      <c r="F209" s="54" t="s">
        <v>152</v>
      </c>
      <c r="G209" s="54" t="s">
        <v>147</v>
      </c>
      <c r="H209" s="54">
        <v>5</v>
      </c>
      <c r="I209" s="54">
        <v>0</v>
      </c>
      <c r="J209" s="54">
        <v>0</v>
      </c>
      <c r="K209" s="54">
        <v>14</v>
      </c>
      <c r="L209" s="23"/>
      <c r="N209" t="s">
        <v>161</v>
      </c>
    </row>
    <row r="210" spans="2:14" x14ac:dyDescent="0.25">
      <c r="B210" t="s">
        <v>161</v>
      </c>
      <c r="C210" s="58" t="s">
        <v>536</v>
      </c>
      <c r="D210" s="59" t="s">
        <v>152</v>
      </c>
      <c r="E210" s="57" t="s">
        <v>537</v>
      </c>
      <c r="F210" s="54" t="s">
        <v>152</v>
      </c>
      <c r="G210" s="54" t="s">
        <v>147</v>
      </c>
      <c r="H210" s="54">
        <v>5</v>
      </c>
      <c r="I210" s="54">
        <v>0</v>
      </c>
      <c r="J210" s="54">
        <v>0</v>
      </c>
      <c r="K210" s="54">
        <v>14</v>
      </c>
      <c r="L210" s="23"/>
      <c r="N210" t="s">
        <v>161</v>
      </c>
    </row>
    <row r="211" spans="2:14" x14ac:dyDescent="0.25">
      <c r="B211" t="s">
        <v>161</v>
      </c>
      <c r="C211" s="58" t="s">
        <v>538</v>
      </c>
      <c r="D211" s="59" t="s">
        <v>152</v>
      </c>
      <c r="E211" s="57" t="s">
        <v>539</v>
      </c>
      <c r="F211" s="54" t="s">
        <v>152</v>
      </c>
      <c r="G211" s="54" t="s">
        <v>147</v>
      </c>
      <c r="H211" s="54">
        <v>5</v>
      </c>
      <c r="I211" s="54">
        <v>0</v>
      </c>
      <c r="J211" s="54">
        <v>0</v>
      </c>
      <c r="K211" s="54">
        <v>14</v>
      </c>
      <c r="L211" s="23"/>
      <c r="N211" t="s">
        <v>161</v>
      </c>
    </row>
    <row r="212" spans="2:14" x14ac:dyDescent="0.25">
      <c r="B212" t="s">
        <v>161</v>
      </c>
      <c r="C212" s="58" t="s">
        <v>540</v>
      </c>
      <c r="D212" s="59" t="s">
        <v>152</v>
      </c>
      <c r="E212" s="57" t="s">
        <v>541</v>
      </c>
      <c r="F212" s="54" t="s">
        <v>152</v>
      </c>
      <c r="G212" s="54" t="s">
        <v>147</v>
      </c>
      <c r="H212" s="54">
        <v>5</v>
      </c>
      <c r="I212" s="54">
        <v>0</v>
      </c>
      <c r="J212" s="54">
        <v>0</v>
      </c>
      <c r="K212" s="54">
        <v>14</v>
      </c>
      <c r="L212" s="23"/>
      <c r="N212" t="s">
        <v>161</v>
      </c>
    </row>
    <row r="213" spans="2:14" x14ac:dyDescent="0.25">
      <c r="B213" t="s">
        <v>161</v>
      </c>
      <c r="C213" s="58" t="s">
        <v>542</v>
      </c>
      <c r="D213" s="59" t="s">
        <v>152</v>
      </c>
      <c r="E213" s="57" t="s">
        <v>543</v>
      </c>
      <c r="F213" s="54" t="s">
        <v>152</v>
      </c>
      <c r="G213" s="54" t="s">
        <v>147</v>
      </c>
      <c r="H213" s="54">
        <v>5</v>
      </c>
      <c r="I213" s="54">
        <v>0</v>
      </c>
      <c r="J213" s="54">
        <v>0</v>
      </c>
      <c r="K213" s="54">
        <v>14</v>
      </c>
      <c r="L213" s="23"/>
      <c r="N213" t="s">
        <v>161</v>
      </c>
    </row>
    <row r="214" spans="2:14" x14ac:dyDescent="0.25">
      <c r="B214" t="s">
        <v>161</v>
      </c>
      <c r="C214" s="58" t="s">
        <v>544</v>
      </c>
      <c r="D214" s="59" t="s">
        <v>152</v>
      </c>
      <c r="E214" s="57" t="s">
        <v>545</v>
      </c>
      <c r="F214" s="54" t="s">
        <v>152</v>
      </c>
      <c r="G214" s="54" t="s">
        <v>147</v>
      </c>
      <c r="H214" s="54">
        <v>5</v>
      </c>
      <c r="I214" s="54">
        <v>0</v>
      </c>
      <c r="J214" s="54">
        <v>0</v>
      </c>
      <c r="K214" s="54">
        <v>14</v>
      </c>
      <c r="L214" s="23"/>
      <c r="N214" t="s">
        <v>161</v>
      </c>
    </row>
    <row r="215" spans="2:14" x14ac:dyDescent="0.25">
      <c r="B215" t="s">
        <v>161</v>
      </c>
      <c r="C215" s="58" t="s">
        <v>546</v>
      </c>
      <c r="D215" s="59" t="s">
        <v>152</v>
      </c>
      <c r="E215" s="57" t="s">
        <v>547</v>
      </c>
      <c r="F215" s="54" t="s">
        <v>152</v>
      </c>
      <c r="G215" s="54" t="s">
        <v>147</v>
      </c>
      <c r="H215" s="54">
        <v>5</v>
      </c>
      <c r="I215" s="54">
        <v>0</v>
      </c>
      <c r="J215" s="54">
        <v>0</v>
      </c>
      <c r="K215" s="54">
        <v>14</v>
      </c>
      <c r="L215" s="23"/>
      <c r="N215" t="s">
        <v>161</v>
      </c>
    </row>
    <row r="216" spans="2:14" x14ac:dyDescent="0.25">
      <c r="B216" t="s">
        <v>161</v>
      </c>
      <c r="C216" s="58" t="s">
        <v>548</v>
      </c>
      <c r="D216" s="59" t="s">
        <v>152</v>
      </c>
      <c r="E216" s="57" t="s">
        <v>549</v>
      </c>
      <c r="F216" s="54" t="s">
        <v>152</v>
      </c>
      <c r="G216" s="54" t="s">
        <v>147</v>
      </c>
      <c r="H216" s="54">
        <v>5</v>
      </c>
      <c r="I216" s="54">
        <v>0</v>
      </c>
      <c r="J216" s="54">
        <v>0</v>
      </c>
      <c r="K216" s="54">
        <v>14</v>
      </c>
      <c r="L216" s="23"/>
      <c r="N216" t="s">
        <v>161</v>
      </c>
    </row>
    <row r="217" spans="2:14" x14ac:dyDescent="0.25">
      <c r="B217" t="s">
        <v>161</v>
      </c>
      <c r="C217" s="58" t="s">
        <v>550</v>
      </c>
      <c r="D217" s="59" t="s">
        <v>152</v>
      </c>
      <c r="E217" s="57" t="s">
        <v>551</v>
      </c>
      <c r="F217" s="54" t="s">
        <v>152</v>
      </c>
      <c r="G217" s="54" t="s">
        <v>147</v>
      </c>
      <c r="H217" s="54">
        <v>5</v>
      </c>
      <c r="I217" s="54">
        <v>0</v>
      </c>
      <c r="J217" s="54">
        <v>0</v>
      </c>
      <c r="K217" s="54">
        <v>14</v>
      </c>
      <c r="L217" s="23"/>
      <c r="N217" t="s">
        <v>161</v>
      </c>
    </row>
    <row r="218" spans="2:14" x14ac:dyDescent="0.25">
      <c r="B218" t="s">
        <v>161</v>
      </c>
      <c r="C218" s="58" t="s">
        <v>552</v>
      </c>
      <c r="D218" s="59" t="s">
        <v>152</v>
      </c>
      <c r="E218" s="57" t="s">
        <v>553</v>
      </c>
      <c r="F218" s="54" t="s">
        <v>152</v>
      </c>
      <c r="G218" s="54" t="s">
        <v>147</v>
      </c>
      <c r="H218" s="54">
        <v>5</v>
      </c>
      <c r="I218" s="54">
        <v>0</v>
      </c>
      <c r="J218" s="54">
        <v>0</v>
      </c>
      <c r="K218" s="54">
        <v>14</v>
      </c>
      <c r="L218" s="23"/>
      <c r="N218" t="s">
        <v>161</v>
      </c>
    </row>
    <row r="219" spans="2:14" x14ac:dyDescent="0.25">
      <c r="B219" t="s">
        <v>161</v>
      </c>
      <c r="C219" s="58" t="s">
        <v>554</v>
      </c>
      <c r="D219" s="59" t="s">
        <v>152</v>
      </c>
      <c r="E219" s="57" t="s">
        <v>555</v>
      </c>
      <c r="F219" s="54" t="s">
        <v>152</v>
      </c>
      <c r="G219" s="54" t="s">
        <v>147</v>
      </c>
      <c r="H219" s="54">
        <v>5</v>
      </c>
      <c r="I219" s="54">
        <v>0</v>
      </c>
      <c r="J219" s="54">
        <v>0</v>
      </c>
      <c r="K219" s="54">
        <v>14</v>
      </c>
      <c r="L219" s="23"/>
      <c r="N219" t="s">
        <v>161</v>
      </c>
    </row>
    <row r="220" spans="2:14" x14ac:dyDescent="0.25">
      <c r="B220" t="s">
        <v>161</v>
      </c>
      <c r="C220" s="58" t="s">
        <v>556</v>
      </c>
      <c r="D220" s="59" t="s">
        <v>152</v>
      </c>
      <c r="E220" s="57" t="s">
        <v>557</v>
      </c>
      <c r="F220" s="54" t="s">
        <v>152</v>
      </c>
      <c r="G220" s="54" t="s">
        <v>147</v>
      </c>
      <c r="H220" s="54">
        <v>5</v>
      </c>
      <c r="I220" s="54">
        <v>0</v>
      </c>
      <c r="J220" s="54">
        <v>0</v>
      </c>
      <c r="K220" s="54">
        <v>14</v>
      </c>
      <c r="L220" s="23"/>
      <c r="N220" t="s">
        <v>161</v>
      </c>
    </row>
    <row r="221" spans="2:14" x14ac:dyDescent="0.25">
      <c r="B221" t="s">
        <v>161</v>
      </c>
      <c r="C221" s="58" t="s">
        <v>558</v>
      </c>
      <c r="D221" s="59" t="s">
        <v>152</v>
      </c>
      <c r="E221" s="57" t="s">
        <v>559</v>
      </c>
      <c r="F221" s="54" t="s">
        <v>152</v>
      </c>
      <c r="G221" s="54" t="s">
        <v>147</v>
      </c>
      <c r="H221" s="54">
        <v>5</v>
      </c>
      <c r="I221" s="54">
        <v>0</v>
      </c>
      <c r="J221" s="54">
        <v>0</v>
      </c>
      <c r="K221" s="54">
        <v>14</v>
      </c>
      <c r="L221" s="23"/>
      <c r="N221" t="s">
        <v>161</v>
      </c>
    </row>
    <row r="222" spans="2:14" x14ac:dyDescent="0.25">
      <c r="B222" t="s">
        <v>161</v>
      </c>
      <c r="C222" s="58" t="s">
        <v>560</v>
      </c>
      <c r="D222" s="59" t="s">
        <v>152</v>
      </c>
      <c r="E222" s="57" t="s">
        <v>561</v>
      </c>
      <c r="F222" s="54" t="s">
        <v>152</v>
      </c>
      <c r="G222" s="54" t="s">
        <v>147</v>
      </c>
      <c r="H222" s="54">
        <v>5</v>
      </c>
      <c r="I222" s="54">
        <v>0</v>
      </c>
      <c r="J222" s="54">
        <v>0</v>
      </c>
      <c r="K222" s="54">
        <v>14</v>
      </c>
      <c r="L222" s="23"/>
      <c r="N222" t="s">
        <v>161</v>
      </c>
    </row>
    <row r="223" spans="2:14" x14ac:dyDescent="0.25">
      <c r="B223" t="s">
        <v>161</v>
      </c>
      <c r="C223" s="58" t="s">
        <v>562</v>
      </c>
      <c r="D223" s="59" t="s">
        <v>152</v>
      </c>
      <c r="E223" s="57" t="s">
        <v>559</v>
      </c>
      <c r="F223" s="54" t="s">
        <v>152</v>
      </c>
      <c r="G223" s="54" t="s">
        <v>147</v>
      </c>
      <c r="H223" s="54">
        <v>5</v>
      </c>
      <c r="I223" s="54">
        <v>0</v>
      </c>
      <c r="J223" s="54">
        <v>0</v>
      </c>
      <c r="K223" s="54">
        <v>14</v>
      </c>
      <c r="L223" s="23"/>
      <c r="N223" t="s">
        <v>161</v>
      </c>
    </row>
    <row r="224" spans="2:14" x14ac:dyDescent="0.25">
      <c r="B224" t="s">
        <v>161</v>
      </c>
      <c r="C224" s="58" t="s">
        <v>563</v>
      </c>
      <c r="D224" s="59" t="s">
        <v>152</v>
      </c>
      <c r="E224" s="57" t="s">
        <v>561</v>
      </c>
      <c r="F224" s="54" t="s">
        <v>152</v>
      </c>
      <c r="G224" s="54" t="s">
        <v>147</v>
      </c>
      <c r="H224" s="54">
        <v>5</v>
      </c>
      <c r="I224" s="54">
        <v>0</v>
      </c>
      <c r="J224" s="54">
        <v>0</v>
      </c>
      <c r="K224" s="54">
        <v>14</v>
      </c>
      <c r="L224" s="23"/>
      <c r="N224" t="s">
        <v>161</v>
      </c>
    </row>
    <row r="225" spans="2:14" x14ac:dyDescent="0.25">
      <c r="B225" t="s">
        <v>161</v>
      </c>
      <c r="C225" s="58" t="s">
        <v>564</v>
      </c>
      <c r="D225" s="59" t="s">
        <v>152</v>
      </c>
      <c r="E225" s="57" t="s">
        <v>565</v>
      </c>
      <c r="F225" s="54" t="s">
        <v>152</v>
      </c>
      <c r="G225" s="54" t="s">
        <v>147</v>
      </c>
      <c r="H225" s="54">
        <v>5</v>
      </c>
      <c r="I225" s="54">
        <v>0</v>
      </c>
      <c r="J225" s="54">
        <v>0</v>
      </c>
      <c r="K225" s="54">
        <v>14</v>
      </c>
      <c r="L225" s="23"/>
      <c r="N225" t="s">
        <v>161</v>
      </c>
    </row>
    <row r="226" spans="2:14" x14ac:dyDescent="0.25">
      <c r="B226" t="s">
        <v>161</v>
      </c>
      <c r="C226" s="58" t="s">
        <v>566</v>
      </c>
      <c r="D226" s="59" t="s">
        <v>152</v>
      </c>
      <c r="E226" s="57" t="s">
        <v>567</v>
      </c>
      <c r="F226" s="54" t="s">
        <v>152</v>
      </c>
      <c r="G226" s="54" t="s">
        <v>147</v>
      </c>
      <c r="H226" s="54">
        <v>5</v>
      </c>
      <c r="I226" s="54">
        <v>0</v>
      </c>
      <c r="J226" s="54">
        <v>0</v>
      </c>
      <c r="K226" s="54">
        <v>14</v>
      </c>
      <c r="L226" s="23"/>
      <c r="N226" t="s">
        <v>161</v>
      </c>
    </row>
    <row r="227" spans="2:14" x14ac:dyDescent="0.25">
      <c r="B227" t="s">
        <v>161</v>
      </c>
      <c r="C227" s="58" t="s">
        <v>568</v>
      </c>
      <c r="D227" s="59" t="s">
        <v>152</v>
      </c>
      <c r="E227" s="57" t="s">
        <v>569</v>
      </c>
      <c r="F227" s="54" t="s">
        <v>152</v>
      </c>
      <c r="G227" s="54" t="s">
        <v>147</v>
      </c>
      <c r="H227" s="54">
        <v>5</v>
      </c>
      <c r="I227" s="54">
        <v>0</v>
      </c>
      <c r="J227" s="54">
        <v>0</v>
      </c>
      <c r="K227" s="54">
        <v>14</v>
      </c>
      <c r="L227" s="23"/>
      <c r="N227" t="s">
        <v>161</v>
      </c>
    </row>
    <row r="228" spans="2:14" x14ac:dyDescent="0.25">
      <c r="B228" t="s">
        <v>161</v>
      </c>
      <c r="C228" s="58" t="s">
        <v>570</v>
      </c>
      <c r="D228" s="59" t="s">
        <v>152</v>
      </c>
      <c r="E228" s="57" t="s">
        <v>571</v>
      </c>
      <c r="F228" s="54" t="s">
        <v>152</v>
      </c>
      <c r="G228" s="54" t="s">
        <v>147</v>
      </c>
      <c r="H228" s="54">
        <v>5</v>
      </c>
      <c r="I228" s="54">
        <v>0</v>
      </c>
      <c r="J228" s="54">
        <v>0</v>
      </c>
      <c r="K228" s="54">
        <v>14</v>
      </c>
      <c r="L228" s="23"/>
      <c r="N228" t="s">
        <v>161</v>
      </c>
    </row>
    <row r="229" spans="2:14" x14ac:dyDescent="0.25">
      <c r="B229" t="s">
        <v>161</v>
      </c>
      <c r="C229" s="58" t="s">
        <v>572</v>
      </c>
      <c r="D229" s="59" t="s">
        <v>152</v>
      </c>
      <c r="E229" s="57" t="s">
        <v>573</v>
      </c>
      <c r="F229" s="54" t="s">
        <v>152</v>
      </c>
      <c r="G229" s="54" t="s">
        <v>147</v>
      </c>
      <c r="H229" s="54">
        <v>5</v>
      </c>
      <c r="I229" s="54">
        <v>0</v>
      </c>
      <c r="J229" s="54">
        <v>0</v>
      </c>
      <c r="K229" s="54">
        <v>14</v>
      </c>
      <c r="L229" s="23"/>
      <c r="N229" t="s">
        <v>161</v>
      </c>
    </row>
    <row r="230" spans="2:14" x14ac:dyDescent="0.25">
      <c r="B230" t="s">
        <v>161</v>
      </c>
      <c r="C230" s="58" t="s">
        <v>574</v>
      </c>
      <c r="D230" s="59" t="s">
        <v>152</v>
      </c>
      <c r="E230" s="57" t="s">
        <v>575</v>
      </c>
      <c r="F230" s="54" t="s">
        <v>152</v>
      </c>
      <c r="G230" s="54" t="s">
        <v>147</v>
      </c>
      <c r="H230" s="54">
        <v>5</v>
      </c>
      <c r="I230" s="54">
        <v>0</v>
      </c>
      <c r="J230" s="54">
        <v>0</v>
      </c>
      <c r="K230" s="54">
        <v>14</v>
      </c>
      <c r="L230" s="23"/>
      <c r="N230" t="s">
        <v>161</v>
      </c>
    </row>
    <row r="231" spans="2:14" x14ac:dyDescent="0.25">
      <c r="B231" t="s">
        <v>161</v>
      </c>
      <c r="C231" s="58" t="s">
        <v>576</v>
      </c>
      <c r="D231" s="59" t="s">
        <v>152</v>
      </c>
      <c r="E231" s="57" t="s">
        <v>577</v>
      </c>
      <c r="F231" s="54" t="s">
        <v>152</v>
      </c>
      <c r="G231" s="54" t="s">
        <v>147</v>
      </c>
      <c r="H231" s="54">
        <v>5</v>
      </c>
      <c r="I231" s="54">
        <v>0</v>
      </c>
      <c r="J231" s="54">
        <v>0</v>
      </c>
      <c r="K231" s="54">
        <v>14</v>
      </c>
      <c r="L231" s="23"/>
      <c r="N231" t="s">
        <v>161</v>
      </c>
    </row>
    <row r="232" spans="2:14" x14ac:dyDescent="0.25">
      <c r="B232" t="s">
        <v>161</v>
      </c>
      <c r="C232" s="58" t="s">
        <v>578</v>
      </c>
      <c r="D232" s="59" t="s">
        <v>152</v>
      </c>
      <c r="E232" s="57" t="s">
        <v>579</v>
      </c>
      <c r="F232" s="54" t="s">
        <v>152</v>
      </c>
      <c r="G232" s="54" t="s">
        <v>147</v>
      </c>
      <c r="H232" s="54">
        <v>5</v>
      </c>
      <c r="I232" s="54">
        <v>0</v>
      </c>
      <c r="J232" s="54">
        <v>0</v>
      </c>
      <c r="K232" s="54">
        <v>14</v>
      </c>
      <c r="L232" s="23"/>
      <c r="N232" t="s">
        <v>161</v>
      </c>
    </row>
    <row r="233" spans="2:14" x14ac:dyDescent="0.25">
      <c r="B233" t="s">
        <v>161</v>
      </c>
      <c r="C233" s="58" t="s">
        <v>580</v>
      </c>
      <c r="D233" s="59" t="s">
        <v>152</v>
      </c>
      <c r="E233" s="57" t="s">
        <v>581</v>
      </c>
      <c r="F233" s="54" t="s">
        <v>152</v>
      </c>
      <c r="G233" s="54" t="s">
        <v>147</v>
      </c>
      <c r="H233" s="54">
        <v>5</v>
      </c>
      <c r="I233" s="54">
        <v>0</v>
      </c>
      <c r="J233" s="54">
        <v>0</v>
      </c>
      <c r="K233" s="54">
        <v>14</v>
      </c>
      <c r="L233" s="23"/>
      <c r="N233" t="s">
        <v>161</v>
      </c>
    </row>
    <row r="234" spans="2:14" x14ac:dyDescent="0.25">
      <c r="B234" t="s">
        <v>161</v>
      </c>
      <c r="C234" s="58" t="s">
        <v>582</v>
      </c>
      <c r="D234" s="59" t="s">
        <v>152</v>
      </c>
      <c r="E234" s="57" t="s">
        <v>583</v>
      </c>
      <c r="F234" s="54" t="s">
        <v>152</v>
      </c>
      <c r="G234" s="54" t="s">
        <v>147</v>
      </c>
      <c r="H234" s="54">
        <v>5</v>
      </c>
      <c r="I234" s="54">
        <v>0</v>
      </c>
      <c r="J234" s="54">
        <v>0</v>
      </c>
      <c r="K234" s="54">
        <v>14</v>
      </c>
      <c r="L234" s="23"/>
      <c r="N234" t="s">
        <v>161</v>
      </c>
    </row>
    <row r="235" spans="2:14" x14ac:dyDescent="0.25">
      <c r="B235" t="s">
        <v>161</v>
      </c>
      <c r="C235" s="58" t="s">
        <v>584</v>
      </c>
      <c r="D235" s="59" t="s">
        <v>152</v>
      </c>
      <c r="E235" s="57" t="s">
        <v>585</v>
      </c>
      <c r="F235" s="54" t="s">
        <v>152</v>
      </c>
      <c r="G235" s="54" t="s">
        <v>147</v>
      </c>
      <c r="H235" s="54">
        <v>5</v>
      </c>
      <c r="I235" s="54">
        <v>0</v>
      </c>
      <c r="J235" s="54">
        <v>0</v>
      </c>
      <c r="K235" s="54">
        <v>14</v>
      </c>
      <c r="L235" s="23"/>
      <c r="N235" t="s">
        <v>161</v>
      </c>
    </row>
    <row r="236" spans="2:14" x14ac:dyDescent="0.25">
      <c r="B236" t="s">
        <v>161</v>
      </c>
      <c r="C236" s="58" t="s">
        <v>586</v>
      </c>
      <c r="D236" s="59" t="s">
        <v>152</v>
      </c>
      <c r="E236" s="57" t="s">
        <v>587</v>
      </c>
      <c r="F236" s="54" t="s">
        <v>152</v>
      </c>
      <c r="G236" s="54" t="s">
        <v>147</v>
      </c>
      <c r="H236" s="54">
        <v>5</v>
      </c>
      <c r="I236" s="54">
        <v>0</v>
      </c>
      <c r="J236" s="54">
        <v>0</v>
      </c>
      <c r="K236" s="54">
        <v>14</v>
      </c>
      <c r="L236" s="23"/>
      <c r="N236" t="s">
        <v>161</v>
      </c>
    </row>
    <row r="237" spans="2:14" x14ac:dyDescent="0.25">
      <c r="B237" t="s">
        <v>161</v>
      </c>
      <c r="C237" s="58" t="s">
        <v>588</v>
      </c>
      <c r="D237" s="59" t="s">
        <v>152</v>
      </c>
      <c r="E237" s="57" t="s">
        <v>589</v>
      </c>
      <c r="F237" s="54" t="s">
        <v>152</v>
      </c>
      <c r="G237" s="54" t="s">
        <v>147</v>
      </c>
      <c r="H237" s="54">
        <v>5</v>
      </c>
      <c r="I237" s="54">
        <v>0</v>
      </c>
      <c r="J237" s="54">
        <v>0</v>
      </c>
      <c r="K237" s="54">
        <v>14</v>
      </c>
      <c r="L237" s="23"/>
      <c r="N237" t="s">
        <v>161</v>
      </c>
    </row>
    <row r="238" spans="2:14" x14ac:dyDescent="0.25">
      <c r="B238" t="s">
        <v>161</v>
      </c>
      <c r="C238" s="58" t="s">
        <v>590</v>
      </c>
      <c r="D238" s="59" t="s">
        <v>152</v>
      </c>
      <c r="E238" s="57" t="s">
        <v>591</v>
      </c>
      <c r="F238" s="54" t="s">
        <v>152</v>
      </c>
      <c r="G238" s="54" t="s">
        <v>147</v>
      </c>
      <c r="H238" s="54">
        <v>5</v>
      </c>
      <c r="I238" s="54">
        <v>0</v>
      </c>
      <c r="J238" s="54">
        <v>0</v>
      </c>
      <c r="K238" s="54">
        <v>14</v>
      </c>
      <c r="L238" s="23"/>
      <c r="N238" t="s">
        <v>161</v>
      </c>
    </row>
    <row r="239" spans="2:14" x14ac:dyDescent="0.25">
      <c r="B239" t="s">
        <v>161</v>
      </c>
      <c r="C239" s="58" t="s">
        <v>592</v>
      </c>
      <c r="D239" s="59" t="s">
        <v>152</v>
      </c>
      <c r="E239" s="57" t="s">
        <v>593</v>
      </c>
      <c r="F239" s="54" t="s">
        <v>152</v>
      </c>
      <c r="G239" s="54" t="s">
        <v>147</v>
      </c>
      <c r="H239" s="54">
        <v>5</v>
      </c>
      <c r="I239" s="54">
        <v>0</v>
      </c>
      <c r="J239" s="54">
        <v>27.6</v>
      </c>
      <c r="K239" s="54">
        <v>14</v>
      </c>
      <c r="L239" s="23"/>
      <c r="N239" t="s">
        <v>161</v>
      </c>
    </row>
    <row r="240" spans="2:14" x14ac:dyDescent="0.25">
      <c r="B240" t="s">
        <v>161</v>
      </c>
      <c r="C240" s="58" t="s">
        <v>594</v>
      </c>
      <c r="D240" s="59" t="s">
        <v>152</v>
      </c>
      <c r="E240" s="57" t="s">
        <v>595</v>
      </c>
      <c r="F240" s="54" t="s">
        <v>152</v>
      </c>
      <c r="G240" s="54" t="s">
        <v>147</v>
      </c>
      <c r="H240" s="54">
        <v>5</v>
      </c>
      <c r="I240" s="54">
        <v>0</v>
      </c>
      <c r="J240" s="54">
        <v>24.9</v>
      </c>
      <c r="K240" s="54">
        <v>14</v>
      </c>
      <c r="L240" s="23"/>
      <c r="N240" t="s">
        <v>161</v>
      </c>
    </row>
    <row r="241" spans="2:14" x14ac:dyDescent="0.25">
      <c r="B241" t="s">
        <v>161</v>
      </c>
      <c r="C241" s="58" t="s">
        <v>596</v>
      </c>
      <c r="D241" s="59" t="s">
        <v>152</v>
      </c>
      <c r="E241" s="57" t="s">
        <v>597</v>
      </c>
      <c r="F241" s="54" t="s">
        <v>152</v>
      </c>
      <c r="G241" s="54" t="s">
        <v>147</v>
      </c>
      <c r="H241" s="54">
        <v>5</v>
      </c>
      <c r="I241" s="54">
        <v>0</v>
      </c>
      <c r="J241" s="54">
        <v>0</v>
      </c>
      <c r="K241" s="54">
        <v>14</v>
      </c>
      <c r="L241" s="23"/>
      <c r="N241" t="s">
        <v>161</v>
      </c>
    </row>
    <row r="242" spans="2:14" x14ac:dyDescent="0.25">
      <c r="B242" t="s">
        <v>161</v>
      </c>
      <c r="C242" s="58" t="s">
        <v>598</v>
      </c>
      <c r="D242" s="59" t="s">
        <v>152</v>
      </c>
      <c r="E242" s="57" t="s">
        <v>599</v>
      </c>
      <c r="F242" s="54" t="s">
        <v>152</v>
      </c>
      <c r="G242" s="54" t="s">
        <v>147</v>
      </c>
      <c r="H242" s="54">
        <v>5</v>
      </c>
      <c r="I242" s="54">
        <v>0</v>
      </c>
      <c r="J242" s="54">
        <v>0</v>
      </c>
      <c r="K242" s="54">
        <v>14</v>
      </c>
      <c r="L242" s="23"/>
      <c r="N242" t="s">
        <v>161</v>
      </c>
    </row>
    <row r="243" spans="2:14" x14ac:dyDescent="0.25">
      <c r="B243" t="s">
        <v>161</v>
      </c>
      <c r="C243" s="58" t="s">
        <v>600</v>
      </c>
      <c r="D243" s="59" t="s">
        <v>152</v>
      </c>
      <c r="E243" s="57" t="s">
        <v>601</v>
      </c>
      <c r="F243" s="54" t="s">
        <v>152</v>
      </c>
      <c r="G243" s="54" t="s">
        <v>147</v>
      </c>
      <c r="H243" s="54">
        <v>5</v>
      </c>
      <c r="I243" s="54">
        <v>0</v>
      </c>
      <c r="J243" s="54">
        <v>0</v>
      </c>
      <c r="K243" s="54">
        <v>14</v>
      </c>
      <c r="L243" s="23"/>
      <c r="N243" t="s">
        <v>161</v>
      </c>
    </row>
    <row r="244" spans="2:14" x14ac:dyDescent="0.25">
      <c r="B244" t="s">
        <v>161</v>
      </c>
      <c r="C244" s="58" t="s">
        <v>602</v>
      </c>
      <c r="D244" s="59" t="s">
        <v>152</v>
      </c>
      <c r="E244" s="57" t="s">
        <v>603</v>
      </c>
      <c r="F244" s="54" t="s">
        <v>152</v>
      </c>
      <c r="G244" s="54" t="s">
        <v>147</v>
      </c>
      <c r="H244" s="54">
        <v>5</v>
      </c>
      <c r="I244" s="54">
        <v>0</v>
      </c>
      <c r="J244" s="54">
        <v>0</v>
      </c>
      <c r="K244" s="54">
        <v>14</v>
      </c>
      <c r="L244" s="23"/>
      <c r="N244" t="s">
        <v>161</v>
      </c>
    </row>
    <row r="245" spans="2:14" x14ac:dyDescent="0.25">
      <c r="B245" t="s">
        <v>161</v>
      </c>
      <c r="C245" s="58" t="s">
        <v>604</v>
      </c>
      <c r="D245" s="59" t="s">
        <v>152</v>
      </c>
      <c r="E245" s="57" t="s">
        <v>605</v>
      </c>
      <c r="F245" s="54" t="s">
        <v>152</v>
      </c>
      <c r="G245" s="54" t="s">
        <v>147</v>
      </c>
      <c r="H245" s="54">
        <v>5</v>
      </c>
      <c r="I245" s="54">
        <v>0</v>
      </c>
      <c r="J245" s="54">
        <v>0</v>
      </c>
      <c r="K245" s="54">
        <v>14</v>
      </c>
      <c r="L245" s="23"/>
      <c r="N245" t="s">
        <v>161</v>
      </c>
    </row>
    <row r="246" spans="2:14" x14ac:dyDescent="0.25">
      <c r="B246" t="s">
        <v>161</v>
      </c>
      <c r="C246" s="58" t="s">
        <v>606</v>
      </c>
      <c r="D246" s="59" t="s">
        <v>152</v>
      </c>
      <c r="E246" s="57" t="s">
        <v>607</v>
      </c>
      <c r="F246" s="54" t="s">
        <v>152</v>
      </c>
      <c r="G246" s="54" t="s">
        <v>147</v>
      </c>
      <c r="H246" s="54">
        <v>5</v>
      </c>
      <c r="I246" s="54">
        <v>0</v>
      </c>
      <c r="J246" s="54">
        <v>0</v>
      </c>
      <c r="K246" s="54">
        <v>14</v>
      </c>
      <c r="L246" s="23"/>
      <c r="N246" t="s">
        <v>161</v>
      </c>
    </row>
    <row r="247" spans="2:14" x14ac:dyDescent="0.25">
      <c r="B247" t="s">
        <v>161</v>
      </c>
      <c r="C247" s="58" t="s">
        <v>608</v>
      </c>
      <c r="D247" s="59" t="s">
        <v>152</v>
      </c>
      <c r="E247" s="57" t="s">
        <v>609</v>
      </c>
      <c r="F247" s="54" t="s">
        <v>152</v>
      </c>
      <c r="G247" s="54" t="s">
        <v>147</v>
      </c>
      <c r="H247" s="54">
        <v>5</v>
      </c>
      <c r="I247" s="54">
        <v>0</v>
      </c>
      <c r="J247" s="54">
        <v>0</v>
      </c>
      <c r="K247" s="54">
        <v>14</v>
      </c>
      <c r="L247" s="23"/>
      <c r="N247" t="s">
        <v>161</v>
      </c>
    </row>
    <row r="248" spans="2:14" x14ac:dyDescent="0.25">
      <c r="B248" t="s">
        <v>161</v>
      </c>
      <c r="C248" s="58" t="s">
        <v>610</v>
      </c>
      <c r="D248" s="59" t="s">
        <v>152</v>
      </c>
      <c r="E248" s="57" t="s">
        <v>611</v>
      </c>
      <c r="F248" s="54" t="s">
        <v>152</v>
      </c>
      <c r="G248" s="54" t="s">
        <v>147</v>
      </c>
      <c r="H248" s="54">
        <v>5</v>
      </c>
      <c r="I248" s="54">
        <v>0</v>
      </c>
      <c r="J248" s="54">
        <v>0</v>
      </c>
      <c r="K248" s="54">
        <v>14</v>
      </c>
      <c r="L248" s="23"/>
      <c r="N248" t="s">
        <v>161</v>
      </c>
    </row>
    <row r="249" spans="2:14" x14ac:dyDescent="0.25">
      <c r="B249" t="s">
        <v>161</v>
      </c>
      <c r="C249" s="58" t="s">
        <v>612</v>
      </c>
      <c r="D249" s="59" t="s">
        <v>152</v>
      </c>
      <c r="E249" s="57" t="s">
        <v>613</v>
      </c>
      <c r="F249" s="54" t="s">
        <v>152</v>
      </c>
      <c r="G249" s="54" t="s">
        <v>147</v>
      </c>
      <c r="H249" s="54">
        <v>5</v>
      </c>
      <c r="I249" s="54">
        <v>0</v>
      </c>
      <c r="J249" s="54">
        <v>0</v>
      </c>
      <c r="K249" s="54">
        <v>14</v>
      </c>
      <c r="L249" s="23"/>
      <c r="N249" t="s">
        <v>161</v>
      </c>
    </row>
    <row r="250" spans="2:14" x14ac:dyDescent="0.25">
      <c r="B250" t="s">
        <v>161</v>
      </c>
      <c r="C250" s="58" t="s">
        <v>614</v>
      </c>
      <c r="D250" s="59" t="s">
        <v>152</v>
      </c>
      <c r="E250" s="57" t="s">
        <v>615</v>
      </c>
      <c r="F250" s="54" t="s">
        <v>152</v>
      </c>
      <c r="G250" s="54" t="s">
        <v>147</v>
      </c>
      <c r="H250" s="54">
        <v>5</v>
      </c>
      <c r="I250" s="54">
        <v>0</v>
      </c>
      <c r="J250" s="54">
        <v>0</v>
      </c>
      <c r="K250" s="54">
        <v>14</v>
      </c>
      <c r="L250" s="23"/>
      <c r="N250" t="s">
        <v>161</v>
      </c>
    </row>
    <row r="251" spans="2:14" x14ac:dyDescent="0.25">
      <c r="B251" t="s">
        <v>161</v>
      </c>
      <c r="C251" s="58" t="s">
        <v>616</v>
      </c>
      <c r="D251" s="59" t="s">
        <v>152</v>
      </c>
      <c r="E251" s="57" t="s">
        <v>617</v>
      </c>
      <c r="F251" s="54" t="s">
        <v>152</v>
      </c>
      <c r="G251" s="54" t="s">
        <v>147</v>
      </c>
      <c r="H251" s="54">
        <v>5</v>
      </c>
      <c r="I251" s="54">
        <v>0</v>
      </c>
      <c r="J251" s="54">
        <v>0</v>
      </c>
      <c r="K251" s="54">
        <v>14</v>
      </c>
      <c r="L251" s="23"/>
      <c r="N251" t="s">
        <v>161</v>
      </c>
    </row>
    <row r="252" spans="2:14" x14ac:dyDescent="0.25">
      <c r="B252" t="s">
        <v>161</v>
      </c>
      <c r="C252" s="58" t="s">
        <v>618</v>
      </c>
      <c r="D252" s="59" t="s">
        <v>152</v>
      </c>
      <c r="E252" s="57" t="s">
        <v>444</v>
      </c>
      <c r="F252" s="54" t="s">
        <v>152</v>
      </c>
      <c r="G252" s="54" t="s">
        <v>147</v>
      </c>
      <c r="H252" s="54">
        <v>5</v>
      </c>
      <c r="I252" s="54">
        <v>0</v>
      </c>
      <c r="J252" s="54">
        <v>0</v>
      </c>
      <c r="K252" s="54">
        <v>14</v>
      </c>
      <c r="L252" s="23"/>
      <c r="N252" t="s">
        <v>161</v>
      </c>
    </row>
    <row r="253" spans="2:14" x14ac:dyDescent="0.25">
      <c r="B253" t="s">
        <v>161</v>
      </c>
      <c r="C253" s="58" t="s">
        <v>619</v>
      </c>
      <c r="D253" s="59" t="s">
        <v>152</v>
      </c>
      <c r="E253" s="57" t="s">
        <v>446</v>
      </c>
      <c r="F253" s="54" t="s">
        <v>152</v>
      </c>
      <c r="G253" s="54" t="s">
        <v>147</v>
      </c>
      <c r="H253" s="54">
        <v>5</v>
      </c>
      <c r="I253" s="54">
        <v>0</v>
      </c>
      <c r="J253" s="54">
        <v>0</v>
      </c>
      <c r="K253" s="54">
        <v>14</v>
      </c>
      <c r="L253" s="23"/>
      <c r="N253" t="s">
        <v>161</v>
      </c>
    </row>
    <row r="254" spans="2:14" x14ac:dyDescent="0.25">
      <c r="B254" t="s">
        <v>161</v>
      </c>
      <c r="C254" s="58" t="s">
        <v>620</v>
      </c>
      <c r="D254" s="59" t="s">
        <v>152</v>
      </c>
      <c r="E254" s="57" t="s">
        <v>621</v>
      </c>
      <c r="F254" s="54" t="s">
        <v>152</v>
      </c>
      <c r="G254" s="54" t="s">
        <v>147</v>
      </c>
      <c r="H254" s="54">
        <v>5</v>
      </c>
      <c r="I254" s="54">
        <v>0</v>
      </c>
      <c r="J254" s="54">
        <v>0</v>
      </c>
      <c r="K254" s="54">
        <v>14</v>
      </c>
      <c r="L254" s="23"/>
      <c r="N254" t="s">
        <v>161</v>
      </c>
    </row>
    <row r="255" spans="2:14" x14ac:dyDescent="0.25">
      <c r="B255" t="s">
        <v>161</v>
      </c>
      <c r="C255" s="58" t="s">
        <v>622</v>
      </c>
      <c r="D255" s="59" t="s">
        <v>152</v>
      </c>
      <c r="E255" s="57" t="s">
        <v>623</v>
      </c>
      <c r="F255" s="54" t="s">
        <v>152</v>
      </c>
      <c r="G255" s="54" t="s">
        <v>147</v>
      </c>
      <c r="H255" s="54">
        <v>5</v>
      </c>
      <c r="I255" s="54">
        <v>0</v>
      </c>
      <c r="J255" s="54">
        <v>0</v>
      </c>
      <c r="K255" s="54">
        <v>14</v>
      </c>
      <c r="L255" s="23"/>
      <c r="N255" t="s">
        <v>161</v>
      </c>
    </row>
    <row r="256" spans="2:14" x14ac:dyDescent="0.25">
      <c r="B256" t="s">
        <v>161</v>
      </c>
      <c r="C256" s="58" t="s">
        <v>624</v>
      </c>
      <c r="D256" s="59" t="s">
        <v>152</v>
      </c>
      <c r="E256" s="57" t="s">
        <v>625</v>
      </c>
      <c r="F256" s="54" t="s">
        <v>152</v>
      </c>
      <c r="G256" s="54" t="s">
        <v>147</v>
      </c>
      <c r="H256" s="54">
        <v>5</v>
      </c>
      <c r="I256" s="54">
        <v>0</v>
      </c>
      <c r="J256" s="54">
        <v>0</v>
      </c>
      <c r="K256" s="54">
        <v>14</v>
      </c>
      <c r="L256" s="23"/>
      <c r="N256" t="s">
        <v>161</v>
      </c>
    </row>
    <row r="257" spans="2:14" x14ac:dyDescent="0.25">
      <c r="B257" t="s">
        <v>161</v>
      </c>
      <c r="C257" s="58" t="s">
        <v>626</v>
      </c>
      <c r="D257" s="59" t="s">
        <v>152</v>
      </c>
      <c r="E257" s="57" t="s">
        <v>627</v>
      </c>
      <c r="F257" s="54" t="s">
        <v>152</v>
      </c>
      <c r="G257" s="54" t="s">
        <v>147</v>
      </c>
      <c r="H257" s="54">
        <v>5</v>
      </c>
      <c r="I257" s="54">
        <v>0</v>
      </c>
      <c r="J257" s="54">
        <v>0</v>
      </c>
      <c r="K257" s="54">
        <v>14</v>
      </c>
      <c r="L257" s="23"/>
      <c r="N257" t="s">
        <v>161</v>
      </c>
    </row>
    <row r="258" spans="2:14" x14ac:dyDescent="0.25">
      <c r="B258" t="s">
        <v>161</v>
      </c>
      <c r="C258" s="58" t="s">
        <v>628</v>
      </c>
      <c r="D258" s="59" t="s">
        <v>152</v>
      </c>
      <c r="E258" s="57" t="s">
        <v>629</v>
      </c>
      <c r="F258" s="54" t="s">
        <v>152</v>
      </c>
      <c r="G258" s="54" t="s">
        <v>147</v>
      </c>
      <c r="H258" s="54">
        <v>5</v>
      </c>
      <c r="I258" s="54">
        <v>0</v>
      </c>
      <c r="J258" s="54">
        <v>0</v>
      </c>
      <c r="K258" s="54">
        <v>14</v>
      </c>
      <c r="L258" s="23"/>
      <c r="N258" t="s">
        <v>161</v>
      </c>
    </row>
    <row r="259" spans="2:14" x14ac:dyDescent="0.25">
      <c r="B259" t="s">
        <v>161</v>
      </c>
      <c r="C259" s="58" t="s">
        <v>630</v>
      </c>
      <c r="D259" s="59" t="s">
        <v>152</v>
      </c>
      <c r="E259" s="57" t="s">
        <v>631</v>
      </c>
      <c r="F259" s="54" t="s">
        <v>152</v>
      </c>
      <c r="G259" s="54" t="s">
        <v>147</v>
      </c>
      <c r="H259" s="54">
        <v>5</v>
      </c>
      <c r="I259" s="54">
        <v>0</v>
      </c>
      <c r="J259" s="54">
        <v>0</v>
      </c>
      <c r="K259" s="54">
        <v>14</v>
      </c>
      <c r="L259" s="23"/>
      <c r="N259" t="s">
        <v>161</v>
      </c>
    </row>
    <row r="260" spans="2:14" x14ac:dyDescent="0.25">
      <c r="B260" t="s">
        <v>161</v>
      </c>
      <c r="C260" s="58" t="s">
        <v>632</v>
      </c>
      <c r="D260" s="59" t="s">
        <v>152</v>
      </c>
      <c r="E260" s="57" t="s">
        <v>633</v>
      </c>
      <c r="F260" s="54" t="s">
        <v>152</v>
      </c>
      <c r="G260" s="54" t="s">
        <v>147</v>
      </c>
      <c r="H260" s="54">
        <v>5</v>
      </c>
      <c r="I260" s="54">
        <v>0</v>
      </c>
      <c r="J260" s="54">
        <v>0</v>
      </c>
      <c r="K260" s="54">
        <v>14</v>
      </c>
      <c r="L260" s="23"/>
      <c r="N260" t="s">
        <v>161</v>
      </c>
    </row>
    <row r="261" spans="2:14" x14ac:dyDescent="0.25">
      <c r="B261" t="s">
        <v>161</v>
      </c>
      <c r="C261" s="58" t="s">
        <v>634</v>
      </c>
      <c r="D261" s="59" t="s">
        <v>152</v>
      </c>
      <c r="E261" s="57" t="s">
        <v>635</v>
      </c>
      <c r="F261" s="54" t="s">
        <v>152</v>
      </c>
      <c r="G261" s="54" t="s">
        <v>147</v>
      </c>
      <c r="H261" s="54">
        <v>5</v>
      </c>
      <c r="I261" s="54">
        <v>0</v>
      </c>
      <c r="J261" s="54">
        <v>0</v>
      </c>
      <c r="K261" s="54">
        <v>14</v>
      </c>
      <c r="L261" s="23"/>
      <c r="N261" t="s">
        <v>161</v>
      </c>
    </row>
    <row r="262" spans="2:14" x14ac:dyDescent="0.25">
      <c r="B262" t="s">
        <v>161</v>
      </c>
      <c r="C262" s="58" t="s">
        <v>636</v>
      </c>
      <c r="D262" s="59" t="s">
        <v>152</v>
      </c>
      <c r="E262" s="57" t="s">
        <v>637</v>
      </c>
      <c r="F262" s="54" t="s">
        <v>152</v>
      </c>
      <c r="G262" s="54" t="s">
        <v>147</v>
      </c>
      <c r="H262" s="54">
        <v>5</v>
      </c>
      <c r="I262" s="54">
        <v>0</v>
      </c>
      <c r="J262" s="54">
        <v>0</v>
      </c>
      <c r="K262" s="54">
        <v>14</v>
      </c>
      <c r="L262" s="23"/>
      <c r="N262" t="s">
        <v>161</v>
      </c>
    </row>
    <row r="263" spans="2:14" x14ac:dyDescent="0.25">
      <c r="B263" t="s">
        <v>161</v>
      </c>
      <c r="C263" s="58" t="s">
        <v>638</v>
      </c>
      <c r="D263" s="59" t="s">
        <v>152</v>
      </c>
      <c r="E263" s="57" t="s">
        <v>639</v>
      </c>
      <c r="F263" s="54" t="s">
        <v>152</v>
      </c>
      <c r="G263" s="54" t="s">
        <v>147</v>
      </c>
      <c r="H263" s="54">
        <v>5</v>
      </c>
      <c r="I263" s="54">
        <v>0</v>
      </c>
      <c r="J263" s="54">
        <v>0</v>
      </c>
      <c r="K263" s="54">
        <v>14</v>
      </c>
      <c r="L263" s="23"/>
      <c r="N263" t="s">
        <v>161</v>
      </c>
    </row>
    <row r="264" spans="2:14" x14ac:dyDescent="0.25">
      <c r="B264" t="s">
        <v>161</v>
      </c>
      <c r="C264" s="58" t="s">
        <v>640</v>
      </c>
      <c r="D264" s="59" t="s">
        <v>152</v>
      </c>
      <c r="E264" s="57" t="s">
        <v>641</v>
      </c>
      <c r="F264" s="54" t="s">
        <v>152</v>
      </c>
      <c r="G264" s="54" t="s">
        <v>147</v>
      </c>
      <c r="H264" s="54">
        <v>5</v>
      </c>
      <c r="I264" s="54">
        <v>0</v>
      </c>
      <c r="J264" s="54">
        <v>0</v>
      </c>
      <c r="K264" s="54">
        <v>14</v>
      </c>
      <c r="L264" s="23"/>
      <c r="N264" t="s">
        <v>161</v>
      </c>
    </row>
    <row r="265" spans="2:14" x14ac:dyDescent="0.25">
      <c r="B265" t="s">
        <v>161</v>
      </c>
      <c r="C265" s="58" t="s">
        <v>642</v>
      </c>
      <c r="D265" s="59" t="s">
        <v>152</v>
      </c>
      <c r="E265" s="57" t="s">
        <v>643</v>
      </c>
      <c r="F265" s="54" t="s">
        <v>152</v>
      </c>
      <c r="G265" s="54" t="s">
        <v>147</v>
      </c>
      <c r="H265" s="54">
        <v>5</v>
      </c>
      <c r="I265" s="54">
        <v>0</v>
      </c>
      <c r="J265" s="54">
        <v>0</v>
      </c>
      <c r="K265" s="54">
        <v>14</v>
      </c>
      <c r="L265" s="23"/>
      <c r="N265" t="s">
        <v>161</v>
      </c>
    </row>
    <row r="266" spans="2:14" x14ac:dyDescent="0.25">
      <c r="B266" t="s">
        <v>161</v>
      </c>
      <c r="C266" s="58" t="s">
        <v>644</v>
      </c>
      <c r="D266" s="59" t="s">
        <v>152</v>
      </c>
      <c r="E266" s="57" t="s">
        <v>645</v>
      </c>
      <c r="F266" s="54" t="s">
        <v>152</v>
      </c>
      <c r="G266" s="54" t="s">
        <v>147</v>
      </c>
      <c r="H266" s="54">
        <v>5</v>
      </c>
      <c r="I266" s="54">
        <v>0</v>
      </c>
      <c r="J266" s="54">
        <v>0</v>
      </c>
      <c r="K266" s="54">
        <v>14</v>
      </c>
      <c r="L266" s="23"/>
      <c r="N266" t="s">
        <v>161</v>
      </c>
    </row>
    <row r="267" spans="2:14" x14ac:dyDescent="0.25">
      <c r="B267" t="s">
        <v>161</v>
      </c>
      <c r="C267" s="58" t="s">
        <v>646</v>
      </c>
      <c r="D267" s="59" t="s">
        <v>152</v>
      </c>
      <c r="E267" s="57" t="s">
        <v>647</v>
      </c>
      <c r="F267" s="54" t="s">
        <v>152</v>
      </c>
      <c r="G267" s="54" t="s">
        <v>147</v>
      </c>
      <c r="H267" s="54">
        <v>5</v>
      </c>
      <c r="I267" s="54">
        <v>0</v>
      </c>
      <c r="J267" s="54">
        <v>0</v>
      </c>
      <c r="K267" s="54">
        <v>14</v>
      </c>
      <c r="L267" s="23"/>
      <c r="N267" t="s">
        <v>161</v>
      </c>
    </row>
    <row r="268" spans="2:14" x14ac:dyDescent="0.25">
      <c r="B268" t="s">
        <v>161</v>
      </c>
      <c r="C268" s="58" t="s">
        <v>648</v>
      </c>
      <c r="D268" s="59" t="s">
        <v>152</v>
      </c>
      <c r="E268" s="57" t="s">
        <v>649</v>
      </c>
      <c r="F268" s="54" t="s">
        <v>152</v>
      </c>
      <c r="G268" s="54" t="s">
        <v>147</v>
      </c>
      <c r="H268" s="54">
        <v>5</v>
      </c>
      <c r="I268" s="54">
        <v>0</v>
      </c>
      <c r="J268" s="54">
        <v>0</v>
      </c>
      <c r="K268" s="54">
        <v>14</v>
      </c>
      <c r="L268" s="23"/>
      <c r="N268" t="s">
        <v>161</v>
      </c>
    </row>
    <row r="269" spans="2:14" x14ac:dyDescent="0.25">
      <c r="B269" t="s">
        <v>161</v>
      </c>
      <c r="C269" s="58" t="s">
        <v>650</v>
      </c>
      <c r="D269" s="59" t="s">
        <v>152</v>
      </c>
      <c r="E269" s="57" t="s">
        <v>651</v>
      </c>
      <c r="F269" s="54" t="s">
        <v>152</v>
      </c>
      <c r="G269" s="54" t="s">
        <v>147</v>
      </c>
      <c r="H269" s="54">
        <v>5</v>
      </c>
      <c r="I269" s="54">
        <v>0</v>
      </c>
      <c r="J269" s="54">
        <v>0</v>
      </c>
      <c r="K269" s="54">
        <v>14</v>
      </c>
      <c r="L269" s="23"/>
      <c r="N269" t="s">
        <v>161</v>
      </c>
    </row>
    <row r="270" spans="2:14" x14ac:dyDescent="0.25">
      <c r="B270" t="s">
        <v>161</v>
      </c>
      <c r="C270" s="58" t="s">
        <v>652</v>
      </c>
      <c r="D270" s="59" t="s">
        <v>152</v>
      </c>
      <c r="E270" s="57" t="s">
        <v>653</v>
      </c>
      <c r="F270" s="54" t="s">
        <v>152</v>
      </c>
      <c r="G270" s="54" t="s">
        <v>147</v>
      </c>
      <c r="H270" s="54">
        <v>5</v>
      </c>
      <c r="I270" s="54">
        <v>0</v>
      </c>
      <c r="J270" s="54">
        <v>0</v>
      </c>
      <c r="K270" s="54">
        <v>14</v>
      </c>
      <c r="L270" s="23"/>
      <c r="N270" t="s">
        <v>161</v>
      </c>
    </row>
    <row r="271" spans="2:14" x14ac:dyDescent="0.25">
      <c r="B271" t="s">
        <v>161</v>
      </c>
      <c r="C271" s="58" t="s">
        <v>654</v>
      </c>
      <c r="D271" s="59" t="s">
        <v>152</v>
      </c>
      <c r="E271" s="57" t="s">
        <v>655</v>
      </c>
      <c r="F271" s="54" t="s">
        <v>152</v>
      </c>
      <c r="G271" s="54" t="s">
        <v>147</v>
      </c>
      <c r="H271" s="54">
        <v>5</v>
      </c>
      <c r="I271" s="54">
        <v>0</v>
      </c>
      <c r="J271" s="54">
        <v>0</v>
      </c>
      <c r="K271" s="54">
        <v>14</v>
      </c>
      <c r="L271" s="23"/>
      <c r="N271" t="s">
        <v>161</v>
      </c>
    </row>
    <row r="272" spans="2:14" x14ac:dyDescent="0.25">
      <c r="B272" t="s">
        <v>161</v>
      </c>
      <c r="C272" s="58" t="s">
        <v>656</v>
      </c>
      <c r="D272" s="59" t="s">
        <v>152</v>
      </c>
      <c r="E272" s="57" t="s">
        <v>444</v>
      </c>
      <c r="F272" s="54" t="s">
        <v>152</v>
      </c>
      <c r="G272" s="54" t="s">
        <v>147</v>
      </c>
      <c r="H272" s="54">
        <v>5</v>
      </c>
      <c r="I272" s="54">
        <v>0</v>
      </c>
      <c r="J272" s="54">
        <v>0</v>
      </c>
      <c r="K272" s="54">
        <v>14</v>
      </c>
      <c r="L272" s="23"/>
      <c r="N272" t="s">
        <v>161</v>
      </c>
    </row>
    <row r="273" spans="2:14" x14ac:dyDescent="0.25">
      <c r="B273" t="s">
        <v>161</v>
      </c>
      <c r="C273" s="58" t="s">
        <v>657</v>
      </c>
      <c r="D273" s="59" t="s">
        <v>152</v>
      </c>
      <c r="E273" s="57" t="s">
        <v>658</v>
      </c>
      <c r="F273" s="54" t="s">
        <v>152</v>
      </c>
      <c r="G273" s="54" t="s">
        <v>147</v>
      </c>
      <c r="H273" s="54">
        <v>5</v>
      </c>
      <c r="I273" s="54">
        <v>0</v>
      </c>
      <c r="J273" s="54">
        <v>0</v>
      </c>
      <c r="K273" s="54">
        <v>14</v>
      </c>
      <c r="L273" s="23"/>
      <c r="N273" t="s">
        <v>161</v>
      </c>
    </row>
    <row r="274" spans="2:14" x14ac:dyDescent="0.25">
      <c r="B274" t="s">
        <v>161</v>
      </c>
      <c r="C274" s="58" t="s">
        <v>659</v>
      </c>
      <c r="D274" s="59" t="s">
        <v>152</v>
      </c>
      <c r="E274" s="57" t="s">
        <v>660</v>
      </c>
      <c r="F274" s="54" t="s">
        <v>152</v>
      </c>
      <c r="G274" s="54" t="s">
        <v>147</v>
      </c>
      <c r="H274" s="54">
        <v>5</v>
      </c>
      <c r="I274" s="54">
        <v>0</v>
      </c>
      <c r="J274" s="54">
        <v>0</v>
      </c>
      <c r="K274" s="54">
        <v>14</v>
      </c>
      <c r="L274" s="23"/>
      <c r="N274" t="s">
        <v>161</v>
      </c>
    </row>
    <row r="275" spans="2:14" x14ac:dyDescent="0.25">
      <c r="B275" t="s">
        <v>161</v>
      </c>
      <c r="C275" s="58" t="s">
        <v>661</v>
      </c>
      <c r="D275" s="59" t="s">
        <v>152</v>
      </c>
      <c r="E275" s="57" t="s">
        <v>662</v>
      </c>
      <c r="F275" s="54" t="s">
        <v>152</v>
      </c>
      <c r="G275" s="54" t="s">
        <v>147</v>
      </c>
      <c r="H275" s="54">
        <v>5</v>
      </c>
      <c r="I275" s="54">
        <v>0</v>
      </c>
      <c r="J275" s="54">
        <v>0</v>
      </c>
      <c r="K275" s="54">
        <v>14</v>
      </c>
      <c r="L275" s="23"/>
      <c r="N275" t="s">
        <v>161</v>
      </c>
    </row>
    <row r="276" spans="2:14" x14ac:dyDescent="0.25">
      <c r="B276" t="s">
        <v>161</v>
      </c>
      <c r="C276" s="58" t="s">
        <v>663</v>
      </c>
      <c r="D276" s="59" t="s">
        <v>152</v>
      </c>
      <c r="E276" s="57" t="s">
        <v>664</v>
      </c>
      <c r="F276" s="54" t="s">
        <v>152</v>
      </c>
      <c r="G276" s="54" t="s">
        <v>147</v>
      </c>
      <c r="H276" s="54">
        <v>5</v>
      </c>
      <c r="I276" s="54">
        <v>0</v>
      </c>
      <c r="J276" s="54">
        <v>0</v>
      </c>
      <c r="K276" s="54">
        <v>14</v>
      </c>
      <c r="L276" s="23"/>
      <c r="N276" t="s">
        <v>161</v>
      </c>
    </row>
    <row r="277" spans="2:14" x14ac:dyDescent="0.25">
      <c r="B277" t="s">
        <v>161</v>
      </c>
      <c r="C277" s="58" t="s">
        <v>665</v>
      </c>
      <c r="D277" s="59" t="s">
        <v>152</v>
      </c>
      <c r="E277" s="57" t="s">
        <v>666</v>
      </c>
      <c r="F277" s="54" t="s">
        <v>152</v>
      </c>
      <c r="G277" s="54" t="s">
        <v>147</v>
      </c>
      <c r="H277" s="54">
        <v>5</v>
      </c>
      <c r="I277" s="54">
        <v>0</v>
      </c>
      <c r="J277" s="54">
        <v>0</v>
      </c>
      <c r="K277" s="54">
        <v>14</v>
      </c>
      <c r="L277" s="23"/>
      <c r="N277" t="s">
        <v>161</v>
      </c>
    </row>
    <row r="278" spans="2:14" x14ac:dyDescent="0.25">
      <c r="B278" t="s">
        <v>161</v>
      </c>
      <c r="C278" s="58" t="s">
        <v>667</v>
      </c>
      <c r="D278" s="59" t="s">
        <v>152</v>
      </c>
      <c r="E278" s="57" t="s">
        <v>444</v>
      </c>
      <c r="F278" s="54" t="s">
        <v>152</v>
      </c>
      <c r="G278" s="54" t="s">
        <v>147</v>
      </c>
      <c r="H278" s="54">
        <v>5</v>
      </c>
      <c r="I278" s="54">
        <v>0</v>
      </c>
      <c r="J278" s="54">
        <v>0</v>
      </c>
      <c r="K278" s="54">
        <v>14</v>
      </c>
      <c r="L278" s="23"/>
      <c r="N278" t="s">
        <v>161</v>
      </c>
    </row>
    <row r="279" spans="2:14" x14ac:dyDescent="0.25">
      <c r="B279" t="s">
        <v>161</v>
      </c>
      <c r="C279" s="58" t="s">
        <v>668</v>
      </c>
      <c r="D279" s="59" t="s">
        <v>152</v>
      </c>
      <c r="E279" s="57" t="s">
        <v>669</v>
      </c>
      <c r="F279" s="54" t="s">
        <v>152</v>
      </c>
      <c r="G279" s="54" t="s">
        <v>147</v>
      </c>
      <c r="H279" s="54">
        <v>5</v>
      </c>
      <c r="I279" s="54">
        <v>0</v>
      </c>
      <c r="J279" s="54">
        <v>0</v>
      </c>
      <c r="K279" s="54">
        <v>14</v>
      </c>
      <c r="L279" s="23"/>
      <c r="N279" t="s">
        <v>161</v>
      </c>
    </row>
    <row r="280" spans="2:14" x14ac:dyDescent="0.25">
      <c r="B280" t="s">
        <v>161</v>
      </c>
      <c r="C280" s="58" t="s">
        <v>670</v>
      </c>
      <c r="D280" s="59" t="s">
        <v>152</v>
      </c>
      <c r="E280" s="57" t="s">
        <v>671</v>
      </c>
      <c r="F280" s="54" t="s">
        <v>152</v>
      </c>
      <c r="G280" s="54" t="s">
        <v>147</v>
      </c>
      <c r="H280" s="54">
        <v>5</v>
      </c>
      <c r="I280" s="54">
        <v>0</v>
      </c>
      <c r="J280" s="54">
        <v>0</v>
      </c>
      <c r="K280" s="54">
        <v>14</v>
      </c>
      <c r="L280" s="23"/>
      <c r="N280" t="s">
        <v>161</v>
      </c>
    </row>
    <row r="281" spans="2:14" x14ac:dyDescent="0.25">
      <c r="B281" t="s">
        <v>161</v>
      </c>
      <c r="C281" s="58" t="s">
        <v>672</v>
      </c>
      <c r="D281" s="59" t="s">
        <v>152</v>
      </c>
      <c r="E281" s="57" t="s">
        <v>673</v>
      </c>
      <c r="F281" s="54" t="s">
        <v>152</v>
      </c>
      <c r="G281" s="54" t="s">
        <v>147</v>
      </c>
      <c r="H281" s="54">
        <v>5</v>
      </c>
      <c r="I281" s="54">
        <v>0</v>
      </c>
      <c r="J281" s="54">
        <v>0</v>
      </c>
      <c r="K281" s="54">
        <v>14</v>
      </c>
      <c r="L281" s="23"/>
      <c r="N281" t="s">
        <v>161</v>
      </c>
    </row>
    <row r="282" spans="2:14" x14ac:dyDescent="0.25">
      <c r="B282" t="s">
        <v>161</v>
      </c>
      <c r="C282" s="58" t="s">
        <v>674</v>
      </c>
      <c r="D282" s="59" t="s">
        <v>152</v>
      </c>
      <c r="E282" s="57" t="s">
        <v>675</v>
      </c>
      <c r="F282" s="54" t="s">
        <v>152</v>
      </c>
      <c r="G282" s="54" t="s">
        <v>147</v>
      </c>
      <c r="H282" s="54">
        <v>5</v>
      </c>
      <c r="I282" s="54">
        <v>0</v>
      </c>
      <c r="J282" s="54">
        <v>0</v>
      </c>
      <c r="K282" s="54">
        <v>14</v>
      </c>
      <c r="L282" s="23"/>
      <c r="N282" t="s">
        <v>161</v>
      </c>
    </row>
    <row r="283" spans="2:14" x14ac:dyDescent="0.25">
      <c r="B283" t="s">
        <v>161</v>
      </c>
      <c r="C283" s="58" t="s">
        <v>676</v>
      </c>
      <c r="D283" s="59" t="s">
        <v>152</v>
      </c>
      <c r="E283" s="57" t="s">
        <v>605</v>
      </c>
      <c r="F283" s="54" t="s">
        <v>152</v>
      </c>
      <c r="G283" s="54" t="s">
        <v>147</v>
      </c>
      <c r="H283" s="54">
        <v>5</v>
      </c>
      <c r="I283" s="54">
        <v>0</v>
      </c>
      <c r="J283" s="54">
        <v>0</v>
      </c>
      <c r="K283" s="54">
        <v>14</v>
      </c>
      <c r="L283" s="23"/>
      <c r="N283" t="s">
        <v>161</v>
      </c>
    </row>
    <row r="284" spans="2:14" x14ac:dyDescent="0.25">
      <c r="B284" t="s">
        <v>161</v>
      </c>
      <c r="C284" s="58" t="s">
        <v>677</v>
      </c>
      <c r="D284" s="59" t="s">
        <v>152</v>
      </c>
      <c r="E284" s="57" t="s">
        <v>607</v>
      </c>
      <c r="F284" s="54" t="s">
        <v>152</v>
      </c>
      <c r="G284" s="54" t="s">
        <v>147</v>
      </c>
      <c r="H284" s="54">
        <v>5</v>
      </c>
      <c r="I284" s="54">
        <v>0</v>
      </c>
      <c r="J284" s="54">
        <v>0</v>
      </c>
      <c r="K284" s="54">
        <v>14</v>
      </c>
      <c r="L284" s="23"/>
      <c r="N284" t="s">
        <v>161</v>
      </c>
    </row>
    <row r="285" spans="2:14" x14ac:dyDescent="0.25">
      <c r="B285" t="s">
        <v>161</v>
      </c>
      <c r="C285" s="58" t="s">
        <v>678</v>
      </c>
      <c r="D285" s="59" t="s">
        <v>152</v>
      </c>
      <c r="E285" s="57" t="s">
        <v>679</v>
      </c>
      <c r="F285" s="54" t="s">
        <v>152</v>
      </c>
      <c r="G285" s="54" t="s">
        <v>147</v>
      </c>
      <c r="H285" s="54">
        <v>5</v>
      </c>
      <c r="I285" s="54">
        <v>0</v>
      </c>
      <c r="J285" s="54">
        <v>0</v>
      </c>
      <c r="K285" s="54">
        <v>14</v>
      </c>
      <c r="L285" s="23"/>
      <c r="N285" t="s">
        <v>161</v>
      </c>
    </row>
    <row r="286" spans="2:14" x14ac:dyDescent="0.25">
      <c r="B286" t="s">
        <v>161</v>
      </c>
      <c r="C286" s="58" t="s">
        <v>680</v>
      </c>
      <c r="D286" s="59" t="s">
        <v>152</v>
      </c>
      <c r="E286" s="57" t="s">
        <v>681</v>
      </c>
      <c r="F286" s="54" t="s">
        <v>152</v>
      </c>
      <c r="G286" s="54" t="s">
        <v>147</v>
      </c>
      <c r="H286" s="54">
        <v>5</v>
      </c>
      <c r="I286" s="54">
        <v>0</v>
      </c>
      <c r="J286" s="54">
        <v>0</v>
      </c>
      <c r="K286" s="54">
        <v>14</v>
      </c>
      <c r="L286" s="23"/>
      <c r="N286" t="s">
        <v>161</v>
      </c>
    </row>
    <row r="287" spans="2:14" x14ac:dyDescent="0.25">
      <c r="B287" t="s">
        <v>161</v>
      </c>
      <c r="C287" s="58" t="s">
        <v>682</v>
      </c>
      <c r="D287" s="59" t="s">
        <v>152</v>
      </c>
      <c r="E287" s="57" t="s">
        <v>595</v>
      </c>
      <c r="F287" s="54" t="s">
        <v>152</v>
      </c>
      <c r="G287" s="54" t="s">
        <v>147</v>
      </c>
      <c r="H287" s="54">
        <v>5</v>
      </c>
      <c r="I287" s="54">
        <v>0</v>
      </c>
      <c r="J287" s="54">
        <v>0</v>
      </c>
      <c r="K287" s="54">
        <v>14</v>
      </c>
      <c r="L287" s="23"/>
      <c r="N287" t="s">
        <v>161</v>
      </c>
    </row>
    <row r="288" spans="2:14" x14ac:dyDescent="0.25">
      <c r="B288" t="s">
        <v>161</v>
      </c>
      <c r="C288" s="58" t="s">
        <v>683</v>
      </c>
      <c r="D288" s="59" t="s">
        <v>152</v>
      </c>
      <c r="E288" s="57" t="s">
        <v>595</v>
      </c>
      <c r="F288" s="54" t="s">
        <v>152</v>
      </c>
      <c r="G288" s="54" t="s">
        <v>147</v>
      </c>
      <c r="H288" s="54">
        <v>5</v>
      </c>
      <c r="I288" s="54">
        <v>0</v>
      </c>
      <c r="J288" s="54">
        <v>0</v>
      </c>
      <c r="K288" s="54">
        <v>14</v>
      </c>
      <c r="L288" s="23"/>
      <c r="N288" t="s">
        <v>161</v>
      </c>
    </row>
    <row r="289" spans="2:14" x14ac:dyDescent="0.25">
      <c r="B289" t="s">
        <v>161</v>
      </c>
      <c r="C289" s="58" t="s">
        <v>684</v>
      </c>
      <c r="D289" s="59" t="s">
        <v>152</v>
      </c>
      <c r="E289" s="57" t="s">
        <v>685</v>
      </c>
      <c r="F289" s="54" t="s">
        <v>152</v>
      </c>
      <c r="G289" s="54" t="s">
        <v>147</v>
      </c>
      <c r="H289" s="54">
        <v>5</v>
      </c>
      <c r="I289" s="54">
        <v>0</v>
      </c>
      <c r="J289" s="54">
        <v>0</v>
      </c>
      <c r="K289" s="54">
        <v>14</v>
      </c>
      <c r="L289" s="23"/>
      <c r="N289" t="s">
        <v>161</v>
      </c>
    </row>
    <row r="290" spans="2:14" x14ac:dyDescent="0.25">
      <c r="B290" t="s">
        <v>161</v>
      </c>
      <c r="C290" s="58" t="s">
        <v>686</v>
      </c>
      <c r="D290" s="59" t="s">
        <v>152</v>
      </c>
      <c r="E290" s="57" t="s">
        <v>687</v>
      </c>
      <c r="F290" s="54" t="s">
        <v>152</v>
      </c>
      <c r="G290" s="54" t="s">
        <v>147</v>
      </c>
      <c r="H290" s="54">
        <v>5</v>
      </c>
      <c r="I290" s="54">
        <v>0</v>
      </c>
      <c r="J290" s="54">
        <v>0</v>
      </c>
      <c r="K290" s="54">
        <v>14</v>
      </c>
      <c r="L290" s="23"/>
      <c r="N290" t="s">
        <v>161</v>
      </c>
    </row>
    <row r="291" spans="2:14" x14ac:dyDescent="0.25">
      <c r="B291" t="s">
        <v>161</v>
      </c>
      <c r="C291" s="58" t="s">
        <v>688</v>
      </c>
      <c r="D291" s="59" t="s">
        <v>152</v>
      </c>
      <c r="E291" s="57" t="s">
        <v>689</v>
      </c>
      <c r="F291" s="54" t="s">
        <v>152</v>
      </c>
      <c r="G291" s="54" t="s">
        <v>147</v>
      </c>
      <c r="H291" s="54">
        <v>5</v>
      </c>
      <c r="I291" s="54">
        <v>0</v>
      </c>
      <c r="J291" s="54">
        <v>0</v>
      </c>
      <c r="K291" s="54">
        <v>14</v>
      </c>
      <c r="L291" s="23"/>
      <c r="N291" t="s">
        <v>161</v>
      </c>
    </row>
    <row r="292" spans="2:14" x14ac:dyDescent="0.25">
      <c r="B292" t="s">
        <v>161</v>
      </c>
      <c r="C292" s="58" t="s">
        <v>690</v>
      </c>
      <c r="D292" s="59" t="s">
        <v>152</v>
      </c>
      <c r="E292" s="57" t="s">
        <v>691</v>
      </c>
      <c r="F292" s="54" t="s">
        <v>152</v>
      </c>
      <c r="G292" s="54" t="s">
        <v>147</v>
      </c>
      <c r="H292" s="54">
        <v>5</v>
      </c>
      <c r="I292" s="54">
        <v>0</v>
      </c>
      <c r="J292" s="54">
        <v>0</v>
      </c>
      <c r="K292" s="54">
        <v>14</v>
      </c>
      <c r="L292" s="23"/>
      <c r="N292" t="s">
        <v>161</v>
      </c>
    </row>
    <row r="293" spans="2:14" x14ac:dyDescent="0.25">
      <c r="B293" t="s">
        <v>161</v>
      </c>
      <c r="C293" s="58" t="s">
        <v>692</v>
      </c>
      <c r="D293" s="59" t="s">
        <v>152</v>
      </c>
      <c r="E293" s="57" t="s">
        <v>693</v>
      </c>
      <c r="F293" s="54" t="s">
        <v>152</v>
      </c>
      <c r="G293" s="54" t="s">
        <v>147</v>
      </c>
      <c r="H293" s="54">
        <v>5</v>
      </c>
      <c r="I293" s="54">
        <v>0</v>
      </c>
      <c r="J293" s="54">
        <v>0</v>
      </c>
      <c r="K293" s="54">
        <v>14</v>
      </c>
      <c r="L293" s="23"/>
      <c r="N293" t="s">
        <v>161</v>
      </c>
    </row>
    <row r="294" spans="2:14" x14ac:dyDescent="0.25">
      <c r="B294" t="s">
        <v>161</v>
      </c>
      <c r="C294" s="58" t="s">
        <v>694</v>
      </c>
      <c r="D294" s="59" t="s">
        <v>152</v>
      </c>
      <c r="E294" s="57" t="s">
        <v>695</v>
      </c>
      <c r="F294" s="54" t="s">
        <v>152</v>
      </c>
      <c r="G294" s="54" t="s">
        <v>147</v>
      </c>
      <c r="H294" s="54">
        <v>5</v>
      </c>
      <c r="I294" s="54">
        <v>0</v>
      </c>
      <c r="J294" s="54">
        <v>0</v>
      </c>
      <c r="K294" s="54">
        <v>14</v>
      </c>
      <c r="L294" s="23"/>
      <c r="N294" t="s">
        <v>161</v>
      </c>
    </row>
    <row r="295" spans="2:14" x14ac:dyDescent="0.25">
      <c r="B295" t="s">
        <v>161</v>
      </c>
      <c r="C295" s="58" t="s">
        <v>696</v>
      </c>
      <c r="D295" s="59" t="s">
        <v>152</v>
      </c>
      <c r="E295" s="57" t="s">
        <v>697</v>
      </c>
      <c r="F295" s="54" t="s">
        <v>152</v>
      </c>
      <c r="G295" s="54" t="s">
        <v>147</v>
      </c>
      <c r="H295" s="54">
        <v>5</v>
      </c>
      <c r="I295" s="54">
        <v>0</v>
      </c>
      <c r="J295" s="54">
        <v>0</v>
      </c>
      <c r="K295" s="54">
        <v>14</v>
      </c>
      <c r="L295" s="23"/>
      <c r="N295" t="s">
        <v>161</v>
      </c>
    </row>
    <row r="296" spans="2:14" x14ac:dyDescent="0.25">
      <c r="B296" t="s">
        <v>161</v>
      </c>
      <c r="C296" s="58" t="s">
        <v>698</v>
      </c>
      <c r="D296" s="59" t="s">
        <v>152</v>
      </c>
      <c r="E296" s="57" t="s">
        <v>699</v>
      </c>
      <c r="F296" s="54" t="s">
        <v>152</v>
      </c>
      <c r="G296" s="54" t="s">
        <v>147</v>
      </c>
      <c r="H296" s="54">
        <v>5</v>
      </c>
      <c r="I296" s="54">
        <v>0</v>
      </c>
      <c r="J296" s="54">
        <v>0</v>
      </c>
      <c r="K296" s="54">
        <v>14</v>
      </c>
      <c r="L296" s="23"/>
      <c r="N296" t="s">
        <v>161</v>
      </c>
    </row>
    <row r="297" spans="2:14" x14ac:dyDescent="0.25">
      <c r="B297" t="s">
        <v>161</v>
      </c>
      <c r="C297" s="58" t="s">
        <v>700</v>
      </c>
      <c r="D297" s="59" t="s">
        <v>152</v>
      </c>
      <c r="E297" s="57" t="s">
        <v>701</v>
      </c>
      <c r="F297" s="54" t="s">
        <v>152</v>
      </c>
      <c r="G297" s="54" t="s">
        <v>147</v>
      </c>
      <c r="H297" s="54">
        <v>5</v>
      </c>
      <c r="I297" s="54">
        <v>0</v>
      </c>
      <c r="J297" s="54">
        <v>0</v>
      </c>
      <c r="K297" s="54">
        <v>14</v>
      </c>
      <c r="L297" s="23"/>
      <c r="N297" t="s">
        <v>161</v>
      </c>
    </row>
    <row r="298" spans="2:14" x14ac:dyDescent="0.25">
      <c r="B298" t="s">
        <v>161</v>
      </c>
      <c r="C298" s="58" t="s">
        <v>702</v>
      </c>
      <c r="D298" s="59" t="s">
        <v>152</v>
      </c>
      <c r="E298" s="57" t="s">
        <v>703</v>
      </c>
      <c r="F298" s="54" t="s">
        <v>152</v>
      </c>
      <c r="G298" s="54" t="s">
        <v>147</v>
      </c>
      <c r="H298" s="54">
        <v>5</v>
      </c>
      <c r="I298" s="54">
        <v>0</v>
      </c>
      <c r="J298" s="54">
        <v>0</v>
      </c>
      <c r="K298" s="54">
        <v>14</v>
      </c>
      <c r="L298" s="23"/>
      <c r="N298" t="s">
        <v>161</v>
      </c>
    </row>
    <row r="299" spans="2:14" x14ac:dyDescent="0.25">
      <c r="B299" t="s">
        <v>161</v>
      </c>
      <c r="C299" s="58" t="s">
        <v>704</v>
      </c>
      <c r="D299" s="59" t="s">
        <v>152</v>
      </c>
      <c r="E299" s="57" t="s">
        <v>705</v>
      </c>
      <c r="F299" s="54" t="s">
        <v>152</v>
      </c>
      <c r="G299" s="54" t="s">
        <v>147</v>
      </c>
      <c r="H299" s="54">
        <v>5</v>
      </c>
      <c r="I299" s="54">
        <v>0</v>
      </c>
      <c r="J299" s="54">
        <v>0</v>
      </c>
      <c r="K299" s="54">
        <v>14</v>
      </c>
      <c r="L299" s="23"/>
      <c r="N299" t="s">
        <v>161</v>
      </c>
    </row>
    <row r="300" spans="2:14" x14ac:dyDescent="0.25">
      <c r="B300" t="s">
        <v>161</v>
      </c>
      <c r="C300" s="58" t="s">
        <v>706</v>
      </c>
      <c r="D300" s="59" t="s">
        <v>152</v>
      </c>
      <c r="E300" s="57" t="s">
        <v>707</v>
      </c>
      <c r="F300" s="54" t="s">
        <v>152</v>
      </c>
      <c r="G300" s="54" t="s">
        <v>147</v>
      </c>
      <c r="H300" s="54">
        <v>5</v>
      </c>
      <c r="I300" s="54">
        <v>0</v>
      </c>
      <c r="J300" s="54">
        <v>0</v>
      </c>
      <c r="K300" s="54">
        <v>14</v>
      </c>
      <c r="L300" s="23"/>
      <c r="N300" t="s">
        <v>161</v>
      </c>
    </row>
    <row r="301" spans="2:14" x14ac:dyDescent="0.25">
      <c r="B301" t="s">
        <v>161</v>
      </c>
      <c r="C301" s="58" t="s">
        <v>708</v>
      </c>
      <c r="D301" s="59" t="s">
        <v>152</v>
      </c>
      <c r="E301" s="57" t="s">
        <v>709</v>
      </c>
      <c r="F301" s="54" t="s">
        <v>152</v>
      </c>
      <c r="G301" s="54" t="s">
        <v>147</v>
      </c>
      <c r="H301" s="54">
        <v>5</v>
      </c>
      <c r="I301" s="54">
        <v>0</v>
      </c>
      <c r="J301" s="54">
        <v>0</v>
      </c>
      <c r="K301" s="54">
        <v>14</v>
      </c>
      <c r="L301" s="23"/>
      <c r="N301" t="s">
        <v>161</v>
      </c>
    </row>
    <row r="302" spans="2:14" x14ac:dyDescent="0.25">
      <c r="B302" t="s">
        <v>161</v>
      </c>
      <c r="C302" s="58" t="s">
        <v>710</v>
      </c>
      <c r="D302" s="59" t="s">
        <v>152</v>
      </c>
      <c r="E302" s="57" t="s">
        <v>711</v>
      </c>
      <c r="F302" s="54" t="s">
        <v>152</v>
      </c>
      <c r="G302" s="54" t="s">
        <v>147</v>
      </c>
      <c r="H302" s="54">
        <v>5</v>
      </c>
      <c r="I302" s="54">
        <v>0</v>
      </c>
      <c r="J302" s="54">
        <v>0</v>
      </c>
      <c r="K302" s="54">
        <v>14</v>
      </c>
      <c r="L302" s="23"/>
      <c r="N302" t="s">
        <v>161</v>
      </c>
    </row>
    <row r="303" spans="2:14" x14ac:dyDescent="0.25">
      <c r="B303" t="s">
        <v>161</v>
      </c>
      <c r="C303" s="58" t="s">
        <v>712</v>
      </c>
      <c r="D303" s="59" t="s">
        <v>152</v>
      </c>
      <c r="E303" s="57" t="s">
        <v>713</v>
      </c>
      <c r="F303" s="54" t="s">
        <v>152</v>
      </c>
      <c r="G303" s="54" t="s">
        <v>147</v>
      </c>
      <c r="H303" s="54">
        <v>5</v>
      </c>
      <c r="I303" s="54">
        <v>0</v>
      </c>
      <c r="J303" s="54">
        <v>0</v>
      </c>
      <c r="K303" s="54">
        <v>14</v>
      </c>
      <c r="L303" s="23"/>
      <c r="N303" t="s">
        <v>161</v>
      </c>
    </row>
    <row r="304" spans="2:14" x14ac:dyDescent="0.25">
      <c r="B304" t="s">
        <v>161</v>
      </c>
      <c r="C304" s="58" t="s">
        <v>714</v>
      </c>
      <c r="D304" s="59" t="s">
        <v>152</v>
      </c>
      <c r="E304" s="57" t="s">
        <v>715</v>
      </c>
      <c r="F304" s="54" t="s">
        <v>152</v>
      </c>
      <c r="G304" s="54" t="s">
        <v>147</v>
      </c>
      <c r="H304" s="54">
        <v>5</v>
      </c>
      <c r="I304" s="54">
        <v>0</v>
      </c>
      <c r="J304" s="54">
        <v>0</v>
      </c>
      <c r="K304" s="54">
        <v>14</v>
      </c>
      <c r="L304" s="23"/>
      <c r="N304" t="s">
        <v>161</v>
      </c>
    </row>
    <row r="305" spans="2:14" x14ac:dyDescent="0.25">
      <c r="B305" t="s">
        <v>161</v>
      </c>
      <c r="C305" s="58" t="s">
        <v>716</v>
      </c>
      <c r="D305" s="59" t="s">
        <v>152</v>
      </c>
      <c r="E305" s="57" t="s">
        <v>717</v>
      </c>
      <c r="F305" s="54" t="s">
        <v>152</v>
      </c>
      <c r="G305" s="54" t="s">
        <v>147</v>
      </c>
      <c r="H305" s="54">
        <v>5</v>
      </c>
      <c r="I305" s="54">
        <v>0</v>
      </c>
      <c r="J305" s="54">
        <v>0</v>
      </c>
      <c r="K305" s="54">
        <v>14</v>
      </c>
      <c r="L305" s="23"/>
      <c r="N305" t="s">
        <v>161</v>
      </c>
    </row>
    <row r="306" spans="2:14" x14ac:dyDescent="0.25">
      <c r="B306" t="s">
        <v>161</v>
      </c>
      <c r="C306" s="58" t="s">
        <v>718</v>
      </c>
      <c r="D306" s="59" t="s">
        <v>152</v>
      </c>
      <c r="E306" s="57" t="s">
        <v>719</v>
      </c>
      <c r="F306" s="54" t="s">
        <v>152</v>
      </c>
      <c r="G306" s="54" t="s">
        <v>147</v>
      </c>
      <c r="H306" s="54">
        <v>5</v>
      </c>
      <c r="I306" s="54">
        <v>0</v>
      </c>
      <c r="J306" s="54">
        <v>0</v>
      </c>
      <c r="K306" s="54">
        <v>14</v>
      </c>
      <c r="L306" s="23"/>
      <c r="N306" t="s">
        <v>161</v>
      </c>
    </row>
    <row r="307" spans="2:14" x14ac:dyDescent="0.25">
      <c r="B307" t="s">
        <v>161</v>
      </c>
      <c r="C307" s="58" t="s">
        <v>720</v>
      </c>
      <c r="D307" s="59" t="s">
        <v>152</v>
      </c>
      <c r="E307" s="57" t="s">
        <v>721</v>
      </c>
      <c r="F307" s="54" t="s">
        <v>152</v>
      </c>
      <c r="G307" s="54" t="s">
        <v>147</v>
      </c>
      <c r="H307" s="54">
        <v>5</v>
      </c>
      <c r="I307" s="54">
        <v>0</v>
      </c>
      <c r="J307" s="54">
        <v>0</v>
      </c>
      <c r="K307" s="54">
        <v>14</v>
      </c>
      <c r="L307" s="23"/>
      <c r="N307" t="s">
        <v>161</v>
      </c>
    </row>
    <row r="308" spans="2:14" x14ac:dyDescent="0.25">
      <c r="B308" t="s">
        <v>161</v>
      </c>
      <c r="C308" s="58" t="s">
        <v>722</v>
      </c>
      <c r="D308" s="59" t="s">
        <v>152</v>
      </c>
      <c r="E308" s="57" t="s">
        <v>723</v>
      </c>
      <c r="F308" s="54" t="s">
        <v>152</v>
      </c>
      <c r="G308" s="54" t="s">
        <v>147</v>
      </c>
      <c r="H308" s="54">
        <v>5</v>
      </c>
      <c r="I308" s="54">
        <v>0</v>
      </c>
      <c r="J308" s="54">
        <v>0</v>
      </c>
      <c r="K308" s="54">
        <v>14</v>
      </c>
      <c r="L308" s="23"/>
      <c r="N308" t="s">
        <v>161</v>
      </c>
    </row>
    <row r="309" spans="2:14" x14ac:dyDescent="0.25">
      <c r="B309" t="s">
        <v>161</v>
      </c>
      <c r="C309" s="58" t="s">
        <v>724</v>
      </c>
      <c r="D309" s="59" t="s">
        <v>152</v>
      </c>
      <c r="E309" s="57" t="s">
        <v>725</v>
      </c>
      <c r="F309" s="54" t="s">
        <v>152</v>
      </c>
      <c r="G309" s="54" t="s">
        <v>147</v>
      </c>
      <c r="H309" s="54">
        <v>5</v>
      </c>
      <c r="I309" s="54">
        <v>0</v>
      </c>
      <c r="J309" s="54">
        <v>0</v>
      </c>
      <c r="K309" s="54">
        <v>14</v>
      </c>
      <c r="L309" s="23"/>
      <c r="N309" t="s">
        <v>161</v>
      </c>
    </row>
    <row r="310" spans="2:14" x14ac:dyDescent="0.25">
      <c r="B310" t="s">
        <v>161</v>
      </c>
      <c r="C310" s="58" t="s">
        <v>726</v>
      </c>
      <c r="D310" s="59" t="s">
        <v>152</v>
      </c>
      <c r="E310" s="57" t="s">
        <v>727</v>
      </c>
      <c r="F310" s="54" t="s">
        <v>152</v>
      </c>
      <c r="G310" s="54" t="s">
        <v>147</v>
      </c>
      <c r="H310" s="54">
        <v>5</v>
      </c>
      <c r="I310" s="54">
        <v>0</v>
      </c>
      <c r="J310" s="54">
        <v>0</v>
      </c>
      <c r="K310" s="54">
        <v>14</v>
      </c>
      <c r="L310" s="23"/>
      <c r="N310" t="s">
        <v>161</v>
      </c>
    </row>
    <row r="311" spans="2:14" x14ac:dyDescent="0.25">
      <c r="B311" t="s">
        <v>161</v>
      </c>
      <c r="C311" s="58" t="s">
        <v>728</v>
      </c>
      <c r="D311" s="59" t="s">
        <v>152</v>
      </c>
      <c r="E311" s="57" t="s">
        <v>729</v>
      </c>
      <c r="F311" s="54" t="s">
        <v>152</v>
      </c>
      <c r="G311" s="54" t="s">
        <v>147</v>
      </c>
      <c r="H311" s="54">
        <v>5</v>
      </c>
      <c r="I311" s="54">
        <v>0</v>
      </c>
      <c r="J311" s="54">
        <v>0</v>
      </c>
      <c r="K311" s="54">
        <v>14</v>
      </c>
      <c r="L311" s="23"/>
      <c r="N311" t="s">
        <v>161</v>
      </c>
    </row>
    <row r="312" spans="2:14" x14ac:dyDescent="0.25">
      <c r="B312" t="s">
        <v>161</v>
      </c>
      <c r="C312" s="58" t="s">
        <v>730</v>
      </c>
      <c r="D312" s="59" t="s">
        <v>152</v>
      </c>
      <c r="E312" s="57" t="s">
        <v>731</v>
      </c>
      <c r="F312" s="54" t="s">
        <v>152</v>
      </c>
      <c r="G312" s="54" t="s">
        <v>147</v>
      </c>
      <c r="H312" s="54">
        <v>5</v>
      </c>
      <c r="I312" s="54">
        <v>0</v>
      </c>
      <c r="J312" s="54">
        <v>0</v>
      </c>
      <c r="K312" s="54">
        <v>14</v>
      </c>
      <c r="L312" s="23"/>
      <c r="N312" t="s">
        <v>161</v>
      </c>
    </row>
    <row r="313" spans="2:14" x14ac:dyDescent="0.25">
      <c r="B313" t="s">
        <v>161</v>
      </c>
      <c r="C313" s="58" t="s">
        <v>732</v>
      </c>
      <c r="D313" s="59" t="s">
        <v>152</v>
      </c>
      <c r="E313" s="57" t="s">
        <v>733</v>
      </c>
      <c r="F313" s="54" t="s">
        <v>152</v>
      </c>
      <c r="G313" s="54" t="s">
        <v>147</v>
      </c>
      <c r="H313" s="54">
        <v>5</v>
      </c>
      <c r="I313" s="54">
        <v>0</v>
      </c>
      <c r="J313" s="54">
        <v>0</v>
      </c>
      <c r="K313" s="54">
        <v>14</v>
      </c>
      <c r="L313" s="23"/>
      <c r="N313" t="s">
        <v>161</v>
      </c>
    </row>
    <row r="314" spans="2:14" x14ac:dyDescent="0.25">
      <c r="B314" t="s">
        <v>161</v>
      </c>
      <c r="C314" s="58" t="s">
        <v>734</v>
      </c>
      <c r="D314" s="59" t="s">
        <v>152</v>
      </c>
      <c r="E314" s="57" t="s">
        <v>735</v>
      </c>
      <c r="F314" s="54" t="s">
        <v>152</v>
      </c>
      <c r="G314" s="54" t="s">
        <v>147</v>
      </c>
      <c r="H314" s="54">
        <v>5</v>
      </c>
      <c r="I314" s="54">
        <v>0</v>
      </c>
      <c r="J314" s="54">
        <v>0</v>
      </c>
      <c r="K314" s="54">
        <v>14</v>
      </c>
      <c r="L314" s="23"/>
      <c r="N314" t="s">
        <v>161</v>
      </c>
    </row>
    <row r="315" spans="2:14" x14ac:dyDescent="0.25">
      <c r="B315" t="s">
        <v>161</v>
      </c>
      <c r="C315" s="58" t="s">
        <v>736</v>
      </c>
      <c r="D315" s="59" t="s">
        <v>152</v>
      </c>
      <c r="E315" s="57" t="s">
        <v>729</v>
      </c>
      <c r="F315" s="54" t="s">
        <v>152</v>
      </c>
      <c r="G315" s="54" t="s">
        <v>147</v>
      </c>
      <c r="H315" s="54">
        <v>5</v>
      </c>
      <c r="I315" s="54">
        <v>0</v>
      </c>
      <c r="J315" s="54">
        <v>0</v>
      </c>
      <c r="K315" s="54">
        <v>14</v>
      </c>
      <c r="L315" s="23"/>
      <c r="N315" t="s">
        <v>161</v>
      </c>
    </row>
    <row r="316" spans="2:14" x14ac:dyDescent="0.25">
      <c r="B316" t="s">
        <v>161</v>
      </c>
      <c r="C316" s="58" t="s">
        <v>737</v>
      </c>
      <c r="D316" s="59" t="s">
        <v>152</v>
      </c>
      <c r="E316" s="57" t="s">
        <v>738</v>
      </c>
      <c r="F316" s="54" t="s">
        <v>152</v>
      </c>
      <c r="G316" s="54" t="s">
        <v>147</v>
      </c>
      <c r="H316" s="54">
        <v>5</v>
      </c>
      <c r="I316" s="54">
        <v>0</v>
      </c>
      <c r="J316" s="54">
        <v>0</v>
      </c>
      <c r="K316" s="54">
        <v>14</v>
      </c>
      <c r="L316" s="23"/>
      <c r="N316" t="s">
        <v>161</v>
      </c>
    </row>
    <row r="317" spans="2:14" x14ac:dyDescent="0.25">
      <c r="B317" t="s">
        <v>161</v>
      </c>
      <c r="C317" s="58" t="s">
        <v>739</v>
      </c>
      <c r="D317" s="59" t="s">
        <v>152</v>
      </c>
      <c r="E317" s="57" t="s">
        <v>729</v>
      </c>
      <c r="F317" s="54" t="s">
        <v>152</v>
      </c>
      <c r="G317" s="54" t="s">
        <v>147</v>
      </c>
      <c r="H317" s="54">
        <v>5</v>
      </c>
      <c r="I317" s="54">
        <v>0</v>
      </c>
      <c r="J317" s="54">
        <v>0</v>
      </c>
      <c r="K317" s="54">
        <v>14</v>
      </c>
      <c r="L317" s="23"/>
      <c r="N317" t="s">
        <v>161</v>
      </c>
    </row>
    <row r="318" spans="2:14" x14ac:dyDescent="0.25">
      <c r="B318" t="s">
        <v>161</v>
      </c>
      <c r="C318" s="58" t="s">
        <v>740</v>
      </c>
      <c r="D318" s="59" t="s">
        <v>152</v>
      </c>
      <c r="E318" s="57" t="s">
        <v>741</v>
      </c>
      <c r="F318" s="54" t="s">
        <v>152</v>
      </c>
      <c r="G318" s="54" t="s">
        <v>147</v>
      </c>
      <c r="H318" s="54">
        <v>5</v>
      </c>
      <c r="I318" s="54">
        <v>0</v>
      </c>
      <c r="J318" s="54">
        <v>0</v>
      </c>
      <c r="K318" s="54">
        <v>14</v>
      </c>
      <c r="L318" s="23"/>
      <c r="N318" t="s">
        <v>161</v>
      </c>
    </row>
    <row r="319" spans="2:14" x14ac:dyDescent="0.25">
      <c r="B319" t="s">
        <v>161</v>
      </c>
      <c r="C319" s="58" t="s">
        <v>742</v>
      </c>
      <c r="D319" s="59" t="s">
        <v>152</v>
      </c>
      <c r="E319" s="57" t="s">
        <v>743</v>
      </c>
      <c r="F319" s="54" t="s">
        <v>152</v>
      </c>
      <c r="G319" s="54" t="s">
        <v>147</v>
      </c>
      <c r="H319" s="54">
        <v>5</v>
      </c>
      <c r="I319" s="54">
        <v>0</v>
      </c>
      <c r="J319" s="54">
        <v>0</v>
      </c>
      <c r="K319" s="54">
        <v>14</v>
      </c>
      <c r="L319" s="23"/>
      <c r="N319" t="s">
        <v>161</v>
      </c>
    </row>
    <row r="320" spans="2:14" x14ac:dyDescent="0.25">
      <c r="B320" t="s">
        <v>161</v>
      </c>
      <c r="C320" s="58" t="s">
        <v>744</v>
      </c>
      <c r="D320" s="59" t="s">
        <v>152</v>
      </c>
      <c r="E320" s="57" t="s">
        <v>745</v>
      </c>
      <c r="F320" s="54" t="s">
        <v>152</v>
      </c>
      <c r="G320" s="54" t="s">
        <v>147</v>
      </c>
      <c r="H320" s="54">
        <v>5</v>
      </c>
      <c r="I320" s="54">
        <v>0</v>
      </c>
      <c r="J320" s="54">
        <v>0</v>
      </c>
      <c r="K320" s="54">
        <v>14</v>
      </c>
      <c r="L320" s="23"/>
      <c r="N320" t="s">
        <v>161</v>
      </c>
    </row>
    <row r="321" spans="2:14" x14ac:dyDescent="0.25">
      <c r="B321" t="s">
        <v>161</v>
      </c>
      <c r="C321" s="58" t="s">
        <v>746</v>
      </c>
      <c r="D321" s="59" t="s">
        <v>152</v>
      </c>
      <c r="E321" s="57" t="s">
        <v>747</v>
      </c>
      <c r="F321" s="54" t="s">
        <v>152</v>
      </c>
      <c r="G321" s="54" t="s">
        <v>147</v>
      </c>
      <c r="H321" s="54">
        <v>5</v>
      </c>
      <c r="I321" s="54">
        <v>0</v>
      </c>
      <c r="J321" s="54">
        <v>0</v>
      </c>
      <c r="K321" s="54">
        <v>14</v>
      </c>
      <c r="L321" s="23"/>
      <c r="N321" t="s">
        <v>161</v>
      </c>
    </row>
    <row r="322" spans="2:14" x14ac:dyDescent="0.25">
      <c r="B322" t="s">
        <v>161</v>
      </c>
      <c r="C322" s="58" t="s">
        <v>748</v>
      </c>
      <c r="D322" s="59" t="s">
        <v>152</v>
      </c>
      <c r="E322" s="57" t="s">
        <v>749</v>
      </c>
      <c r="F322" s="54" t="s">
        <v>152</v>
      </c>
      <c r="G322" s="54" t="s">
        <v>147</v>
      </c>
      <c r="H322" s="54">
        <v>5</v>
      </c>
      <c r="I322" s="54">
        <v>0</v>
      </c>
      <c r="J322" s="54">
        <v>0</v>
      </c>
      <c r="K322" s="54">
        <v>14</v>
      </c>
      <c r="L322" s="23"/>
      <c r="N322" t="s">
        <v>161</v>
      </c>
    </row>
    <row r="323" spans="2:14" x14ac:dyDescent="0.25">
      <c r="B323" t="s">
        <v>161</v>
      </c>
      <c r="C323" s="58" t="s">
        <v>750</v>
      </c>
      <c r="D323" s="59" t="s">
        <v>152</v>
      </c>
      <c r="E323" s="57" t="s">
        <v>503</v>
      </c>
      <c r="F323" s="54" t="s">
        <v>152</v>
      </c>
      <c r="G323" s="54" t="s">
        <v>147</v>
      </c>
      <c r="H323" s="54">
        <v>5</v>
      </c>
      <c r="I323" s="54">
        <v>0</v>
      </c>
      <c r="J323" s="54">
        <v>0</v>
      </c>
      <c r="K323" s="54">
        <v>14</v>
      </c>
      <c r="L323" s="23"/>
      <c r="N323" t="s">
        <v>161</v>
      </c>
    </row>
    <row r="324" spans="2:14" x14ac:dyDescent="0.25">
      <c r="B324" t="s">
        <v>161</v>
      </c>
      <c r="C324" s="58" t="s">
        <v>751</v>
      </c>
      <c r="D324" s="59" t="s">
        <v>152</v>
      </c>
      <c r="E324" s="57" t="s">
        <v>505</v>
      </c>
      <c r="F324" s="54" t="s">
        <v>152</v>
      </c>
      <c r="G324" s="54" t="s">
        <v>147</v>
      </c>
      <c r="H324" s="54">
        <v>5</v>
      </c>
      <c r="I324" s="54">
        <v>0</v>
      </c>
      <c r="J324" s="54">
        <v>0</v>
      </c>
      <c r="K324" s="54">
        <v>14</v>
      </c>
      <c r="L324" s="23"/>
      <c r="N324" t="s">
        <v>161</v>
      </c>
    </row>
    <row r="325" spans="2:14" x14ac:dyDescent="0.25">
      <c r="B325" t="s">
        <v>161</v>
      </c>
      <c r="C325" s="58" t="s">
        <v>752</v>
      </c>
      <c r="D325" s="59" t="s">
        <v>152</v>
      </c>
      <c r="E325" s="57" t="s">
        <v>753</v>
      </c>
      <c r="F325" s="54" t="s">
        <v>152</v>
      </c>
      <c r="G325" s="54" t="s">
        <v>147</v>
      </c>
      <c r="H325" s="54">
        <v>5</v>
      </c>
      <c r="I325" s="54">
        <v>0</v>
      </c>
      <c r="J325" s="54">
        <v>0</v>
      </c>
      <c r="K325" s="54">
        <v>14</v>
      </c>
      <c r="L325" s="23"/>
      <c r="N325" t="s">
        <v>161</v>
      </c>
    </row>
    <row r="326" spans="2:14" x14ac:dyDescent="0.25">
      <c r="B326" t="s">
        <v>161</v>
      </c>
      <c r="C326" s="58" t="s">
        <v>754</v>
      </c>
      <c r="D326" s="59" t="s">
        <v>152</v>
      </c>
      <c r="E326" s="57" t="s">
        <v>755</v>
      </c>
      <c r="F326" s="54" t="s">
        <v>152</v>
      </c>
      <c r="G326" s="54" t="s">
        <v>147</v>
      </c>
      <c r="H326" s="54">
        <v>5</v>
      </c>
      <c r="I326" s="54">
        <v>0</v>
      </c>
      <c r="J326" s="54">
        <v>0</v>
      </c>
      <c r="K326" s="54">
        <v>14</v>
      </c>
      <c r="L326" s="23"/>
      <c r="N326" t="s">
        <v>161</v>
      </c>
    </row>
    <row r="327" spans="2:14" x14ac:dyDescent="0.25">
      <c r="B327" t="s">
        <v>161</v>
      </c>
      <c r="C327" s="58" t="s">
        <v>756</v>
      </c>
      <c r="D327" s="59" t="s">
        <v>152</v>
      </c>
      <c r="E327" s="57" t="s">
        <v>757</v>
      </c>
      <c r="F327" s="54" t="s">
        <v>152</v>
      </c>
      <c r="G327" s="54" t="s">
        <v>147</v>
      </c>
      <c r="H327" s="54">
        <v>5</v>
      </c>
      <c r="I327" s="54">
        <v>0</v>
      </c>
      <c r="J327" s="54">
        <v>0</v>
      </c>
      <c r="K327" s="54">
        <v>14</v>
      </c>
      <c r="L327" s="23"/>
      <c r="N327" t="s">
        <v>161</v>
      </c>
    </row>
    <row r="328" spans="2:14" x14ac:dyDescent="0.25">
      <c r="B328" t="s">
        <v>161</v>
      </c>
      <c r="C328" s="58" t="s">
        <v>758</v>
      </c>
      <c r="D328" s="59" t="s">
        <v>152</v>
      </c>
      <c r="E328" s="57" t="s">
        <v>759</v>
      </c>
      <c r="F328" s="54" t="s">
        <v>152</v>
      </c>
      <c r="G328" s="54" t="s">
        <v>147</v>
      </c>
      <c r="H328" s="54">
        <v>5</v>
      </c>
      <c r="I328" s="54">
        <v>0</v>
      </c>
      <c r="J328" s="54">
        <v>0</v>
      </c>
      <c r="K328" s="54">
        <v>14</v>
      </c>
      <c r="L328" s="23"/>
      <c r="N328" t="s">
        <v>161</v>
      </c>
    </row>
    <row r="329" spans="2:14" x14ac:dyDescent="0.25">
      <c r="B329" t="s">
        <v>161</v>
      </c>
      <c r="C329" s="58" t="s">
        <v>760</v>
      </c>
      <c r="D329" s="59" t="s">
        <v>152</v>
      </c>
      <c r="E329" s="57" t="s">
        <v>761</v>
      </c>
      <c r="F329" s="54" t="s">
        <v>152</v>
      </c>
      <c r="G329" s="54" t="s">
        <v>147</v>
      </c>
      <c r="H329" s="54">
        <v>5</v>
      </c>
      <c r="I329" s="54">
        <v>0</v>
      </c>
      <c r="J329" s="54">
        <v>0</v>
      </c>
      <c r="K329" s="54">
        <v>14</v>
      </c>
      <c r="L329" s="23"/>
      <c r="N329" t="s">
        <v>161</v>
      </c>
    </row>
    <row r="330" spans="2:14" x14ac:dyDescent="0.25">
      <c r="B330" t="s">
        <v>161</v>
      </c>
      <c r="C330" s="58" t="s">
        <v>762</v>
      </c>
      <c r="D330" s="59" t="s">
        <v>152</v>
      </c>
      <c r="E330" s="57" t="s">
        <v>763</v>
      </c>
      <c r="F330" s="54" t="s">
        <v>152</v>
      </c>
      <c r="G330" s="54" t="s">
        <v>147</v>
      </c>
      <c r="H330" s="54">
        <v>5</v>
      </c>
      <c r="I330" s="54">
        <v>0</v>
      </c>
      <c r="J330" s="54">
        <v>0</v>
      </c>
      <c r="K330" s="54">
        <v>14</v>
      </c>
      <c r="L330" s="23"/>
      <c r="N330" t="s">
        <v>161</v>
      </c>
    </row>
    <row r="331" spans="2:14" x14ac:dyDescent="0.25">
      <c r="B331" t="s">
        <v>161</v>
      </c>
      <c r="C331" s="58" t="s">
        <v>764</v>
      </c>
      <c r="D331" s="59" t="s">
        <v>152</v>
      </c>
      <c r="E331" s="57" t="s">
        <v>765</v>
      </c>
      <c r="F331" s="54" t="s">
        <v>152</v>
      </c>
      <c r="G331" s="54" t="s">
        <v>147</v>
      </c>
      <c r="H331" s="54">
        <v>5</v>
      </c>
      <c r="I331" s="54">
        <v>0</v>
      </c>
      <c r="J331" s="54">
        <v>0</v>
      </c>
      <c r="K331" s="54">
        <v>14</v>
      </c>
      <c r="L331" s="23"/>
      <c r="N331" t="s">
        <v>161</v>
      </c>
    </row>
    <row r="332" spans="2:14" x14ac:dyDescent="0.25">
      <c r="B332" t="s">
        <v>161</v>
      </c>
      <c r="C332" s="58" t="s">
        <v>766</v>
      </c>
      <c r="D332" s="59" t="s">
        <v>152</v>
      </c>
      <c r="E332" s="57" t="s">
        <v>767</v>
      </c>
      <c r="F332" s="54" t="s">
        <v>152</v>
      </c>
      <c r="G332" s="54" t="s">
        <v>147</v>
      </c>
      <c r="H332" s="54">
        <v>5</v>
      </c>
      <c r="I332" s="54">
        <v>0</v>
      </c>
      <c r="J332" s="54">
        <v>0</v>
      </c>
      <c r="K332" s="54">
        <v>14</v>
      </c>
      <c r="L332" s="23"/>
      <c r="N332" t="s">
        <v>161</v>
      </c>
    </row>
    <row r="333" spans="2:14" x14ac:dyDescent="0.25">
      <c r="B333" t="s">
        <v>161</v>
      </c>
      <c r="C333" s="58" t="s">
        <v>768</v>
      </c>
      <c r="D333" s="59" t="s">
        <v>152</v>
      </c>
      <c r="E333" s="57" t="s">
        <v>769</v>
      </c>
      <c r="F333" s="54" t="s">
        <v>152</v>
      </c>
      <c r="G333" s="54" t="s">
        <v>147</v>
      </c>
      <c r="H333" s="54">
        <v>5</v>
      </c>
      <c r="I333" s="54">
        <v>0</v>
      </c>
      <c r="J333" s="54">
        <v>0</v>
      </c>
      <c r="K333" s="54">
        <v>14</v>
      </c>
      <c r="L333" s="23"/>
      <c r="N333" t="s">
        <v>161</v>
      </c>
    </row>
    <row r="334" spans="2:14" x14ac:dyDescent="0.25">
      <c r="B334" t="s">
        <v>161</v>
      </c>
      <c r="C334" s="58" t="s">
        <v>770</v>
      </c>
      <c r="D334" s="59" t="s">
        <v>152</v>
      </c>
      <c r="E334" s="57" t="s">
        <v>771</v>
      </c>
      <c r="F334" s="54" t="s">
        <v>152</v>
      </c>
      <c r="G334" s="54" t="s">
        <v>147</v>
      </c>
      <c r="H334" s="54">
        <v>5</v>
      </c>
      <c r="I334" s="54">
        <v>0</v>
      </c>
      <c r="J334" s="54">
        <v>0</v>
      </c>
      <c r="K334" s="54">
        <v>14</v>
      </c>
      <c r="L334" s="23"/>
      <c r="N334" t="s">
        <v>161</v>
      </c>
    </row>
    <row r="335" spans="2:14" x14ac:dyDescent="0.25">
      <c r="B335" t="s">
        <v>161</v>
      </c>
      <c r="C335" s="58" t="s">
        <v>772</v>
      </c>
      <c r="D335" s="59" t="s">
        <v>152</v>
      </c>
      <c r="E335" s="57" t="s">
        <v>773</v>
      </c>
      <c r="F335" s="54" t="s">
        <v>152</v>
      </c>
      <c r="G335" s="54" t="s">
        <v>147</v>
      </c>
      <c r="H335" s="54">
        <v>5</v>
      </c>
      <c r="I335" s="54">
        <v>0</v>
      </c>
      <c r="J335" s="54">
        <v>0</v>
      </c>
      <c r="K335" s="54">
        <v>14</v>
      </c>
      <c r="L335" s="23"/>
      <c r="N335" t="s">
        <v>161</v>
      </c>
    </row>
    <row r="336" spans="2:14" x14ac:dyDescent="0.25">
      <c r="B336" t="s">
        <v>161</v>
      </c>
      <c r="C336" s="58" t="s">
        <v>774</v>
      </c>
      <c r="D336" s="59" t="s">
        <v>152</v>
      </c>
      <c r="E336" s="57" t="s">
        <v>775</v>
      </c>
      <c r="F336" s="54" t="s">
        <v>152</v>
      </c>
      <c r="G336" s="54" t="s">
        <v>147</v>
      </c>
      <c r="H336" s="54">
        <v>5</v>
      </c>
      <c r="I336" s="54">
        <v>0</v>
      </c>
      <c r="J336" s="54">
        <v>0</v>
      </c>
      <c r="K336" s="54">
        <v>14</v>
      </c>
      <c r="L336" s="23"/>
      <c r="N336" t="s">
        <v>161</v>
      </c>
    </row>
    <row r="337" spans="2:14" x14ac:dyDescent="0.25">
      <c r="B337" t="s">
        <v>161</v>
      </c>
      <c r="C337" s="58" t="s">
        <v>776</v>
      </c>
      <c r="D337" s="59" t="s">
        <v>152</v>
      </c>
      <c r="E337" s="57" t="s">
        <v>777</v>
      </c>
      <c r="F337" s="54" t="s">
        <v>152</v>
      </c>
      <c r="G337" s="54" t="s">
        <v>147</v>
      </c>
      <c r="H337" s="54">
        <v>5</v>
      </c>
      <c r="I337" s="54">
        <v>0</v>
      </c>
      <c r="J337" s="54">
        <v>0</v>
      </c>
      <c r="K337" s="54">
        <v>14</v>
      </c>
      <c r="L337" s="23"/>
      <c r="N337" t="s">
        <v>161</v>
      </c>
    </row>
    <row r="338" spans="2:14" x14ac:dyDescent="0.25">
      <c r="B338" t="s">
        <v>161</v>
      </c>
      <c r="C338" s="58" t="s">
        <v>778</v>
      </c>
      <c r="D338" s="59" t="s">
        <v>152</v>
      </c>
      <c r="E338" s="57" t="s">
        <v>779</v>
      </c>
      <c r="F338" s="54" t="s">
        <v>152</v>
      </c>
      <c r="G338" s="54" t="s">
        <v>147</v>
      </c>
      <c r="H338" s="54">
        <v>5</v>
      </c>
      <c r="I338" s="54">
        <v>0</v>
      </c>
      <c r="J338" s="54">
        <v>0</v>
      </c>
      <c r="K338" s="54">
        <v>14</v>
      </c>
      <c r="L338" s="23"/>
      <c r="N338" t="s">
        <v>161</v>
      </c>
    </row>
    <row r="339" spans="2:14" x14ac:dyDescent="0.25">
      <c r="B339" t="s">
        <v>161</v>
      </c>
      <c r="C339" s="58" t="s">
        <v>780</v>
      </c>
      <c r="D339" s="59" t="s">
        <v>152</v>
      </c>
      <c r="E339" s="57" t="s">
        <v>781</v>
      </c>
      <c r="F339" s="54" t="s">
        <v>152</v>
      </c>
      <c r="G339" s="54" t="s">
        <v>147</v>
      </c>
      <c r="H339" s="54">
        <v>5</v>
      </c>
      <c r="I339" s="54">
        <v>0</v>
      </c>
      <c r="J339" s="54">
        <v>0</v>
      </c>
      <c r="K339" s="54">
        <v>14</v>
      </c>
      <c r="L339" s="23"/>
      <c r="N339" t="s">
        <v>161</v>
      </c>
    </row>
    <row r="340" spans="2:14" x14ac:dyDescent="0.25">
      <c r="B340" t="s">
        <v>161</v>
      </c>
      <c r="C340" s="58" t="s">
        <v>782</v>
      </c>
      <c r="D340" s="59" t="s">
        <v>152</v>
      </c>
      <c r="E340" s="57" t="s">
        <v>783</v>
      </c>
      <c r="F340" s="54" t="s">
        <v>152</v>
      </c>
      <c r="G340" s="54" t="s">
        <v>147</v>
      </c>
      <c r="H340" s="54">
        <v>5</v>
      </c>
      <c r="I340" s="54">
        <v>0</v>
      </c>
      <c r="J340" s="54">
        <v>0</v>
      </c>
      <c r="K340" s="54">
        <v>14</v>
      </c>
      <c r="L340" s="23"/>
      <c r="N340" t="s">
        <v>161</v>
      </c>
    </row>
    <row r="341" spans="2:14" x14ac:dyDescent="0.25">
      <c r="B341" t="s">
        <v>161</v>
      </c>
      <c r="C341" s="58" t="s">
        <v>784</v>
      </c>
      <c r="D341" s="59" t="s">
        <v>152</v>
      </c>
      <c r="E341" s="57" t="s">
        <v>785</v>
      </c>
      <c r="F341" s="54" t="s">
        <v>152</v>
      </c>
      <c r="G341" s="54" t="s">
        <v>147</v>
      </c>
      <c r="H341" s="54">
        <v>5</v>
      </c>
      <c r="I341" s="54">
        <v>0</v>
      </c>
      <c r="J341" s="54">
        <v>0</v>
      </c>
      <c r="K341" s="54">
        <v>14</v>
      </c>
      <c r="L341" s="23"/>
      <c r="N341" t="s">
        <v>161</v>
      </c>
    </row>
    <row r="342" spans="2:14" x14ac:dyDescent="0.25">
      <c r="B342" t="s">
        <v>161</v>
      </c>
      <c r="C342" s="58" t="s">
        <v>786</v>
      </c>
      <c r="D342" s="59" t="s">
        <v>152</v>
      </c>
      <c r="E342" s="57" t="s">
        <v>787</v>
      </c>
      <c r="F342" s="54" t="s">
        <v>152</v>
      </c>
      <c r="G342" s="54" t="s">
        <v>147</v>
      </c>
      <c r="H342" s="54">
        <v>5</v>
      </c>
      <c r="I342" s="54">
        <v>0</v>
      </c>
      <c r="J342" s="54">
        <v>0</v>
      </c>
      <c r="K342" s="54">
        <v>14</v>
      </c>
      <c r="L342" s="23"/>
      <c r="N342" t="s">
        <v>161</v>
      </c>
    </row>
    <row r="343" spans="2:14" x14ac:dyDescent="0.25">
      <c r="B343" t="s">
        <v>161</v>
      </c>
      <c r="C343" s="58" t="s">
        <v>788</v>
      </c>
      <c r="D343" s="59" t="s">
        <v>152</v>
      </c>
      <c r="E343" s="57" t="s">
        <v>789</v>
      </c>
      <c r="F343" s="54" t="s">
        <v>152</v>
      </c>
      <c r="G343" s="54" t="s">
        <v>147</v>
      </c>
      <c r="H343" s="54">
        <v>5</v>
      </c>
      <c r="I343" s="54">
        <v>0</v>
      </c>
      <c r="J343" s="54">
        <v>0</v>
      </c>
      <c r="K343" s="54">
        <v>14</v>
      </c>
      <c r="L343" s="23"/>
      <c r="N343" t="s">
        <v>161</v>
      </c>
    </row>
    <row r="344" spans="2:14" x14ac:dyDescent="0.25">
      <c r="B344" t="s">
        <v>161</v>
      </c>
      <c r="C344" s="58" t="s">
        <v>790</v>
      </c>
      <c r="D344" s="59" t="s">
        <v>152</v>
      </c>
      <c r="E344" s="57" t="s">
        <v>791</v>
      </c>
      <c r="F344" s="54" t="s">
        <v>152</v>
      </c>
      <c r="G344" s="54" t="s">
        <v>147</v>
      </c>
      <c r="H344" s="54">
        <v>5</v>
      </c>
      <c r="I344" s="54">
        <v>0</v>
      </c>
      <c r="J344" s="54">
        <v>0</v>
      </c>
      <c r="K344" s="54">
        <v>14</v>
      </c>
      <c r="L344" s="23"/>
      <c r="N344" t="s">
        <v>161</v>
      </c>
    </row>
    <row r="345" spans="2:14" x14ac:dyDescent="0.25">
      <c r="B345" t="s">
        <v>161</v>
      </c>
      <c r="C345" s="58" t="s">
        <v>792</v>
      </c>
      <c r="D345" s="59" t="s">
        <v>151</v>
      </c>
      <c r="E345" s="57" t="s">
        <v>793</v>
      </c>
      <c r="F345" s="54" t="s">
        <v>151</v>
      </c>
      <c r="G345" s="54" t="s">
        <v>410</v>
      </c>
      <c r="H345" s="54">
        <v>5</v>
      </c>
      <c r="I345" s="54">
        <v>0</v>
      </c>
      <c r="J345" s="54">
        <v>26.3</v>
      </c>
      <c r="K345" s="54">
        <v>14</v>
      </c>
      <c r="L345" s="23"/>
      <c r="N345" t="s">
        <v>161</v>
      </c>
    </row>
    <row r="346" spans="2:14" x14ac:dyDescent="0.25">
      <c r="B346" t="s">
        <v>161</v>
      </c>
      <c r="C346" s="58" t="s">
        <v>794</v>
      </c>
      <c r="D346" s="59" t="s">
        <v>151</v>
      </c>
      <c r="E346" s="57" t="s">
        <v>795</v>
      </c>
      <c r="F346" s="54" t="s">
        <v>151</v>
      </c>
      <c r="G346" s="54" t="s">
        <v>410</v>
      </c>
      <c r="H346" s="54">
        <v>5</v>
      </c>
      <c r="I346" s="54">
        <v>0</v>
      </c>
      <c r="J346" s="54">
        <v>19.7</v>
      </c>
      <c r="K346" s="54">
        <v>14</v>
      </c>
      <c r="L346" s="23"/>
      <c r="N346" t="s">
        <v>161</v>
      </c>
    </row>
    <row r="347" spans="2:14" x14ac:dyDescent="0.25">
      <c r="B347" t="s">
        <v>161</v>
      </c>
      <c r="C347" s="58" t="s">
        <v>796</v>
      </c>
      <c r="D347" s="59" t="s">
        <v>151</v>
      </c>
      <c r="E347" s="57" t="s">
        <v>797</v>
      </c>
      <c r="F347" s="54" t="s">
        <v>151</v>
      </c>
      <c r="G347" s="54" t="s">
        <v>410</v>
      </c>
      <c r="H347" s="54">
        <v>5</v>
      </c>
      <c r="I347" s="54">
        <v>0</v>
      </c>
      <c r="J347" s="54">
        <v>0</v>
      </c>
      <c r="K347" s="54">
        <v>14</v>
      </c>
      <c r="L347" s="23"/>
      <c r="N347" t="s">
        <v>161</v>
      </c>
    </row>
    <row r="348" spans="2:14" x14ac:dyDescent="0.25">
      <c r="B348" t="s">
        <v>161</v>
      </c>
      <c r="C348" s="58" t="s">
        <v>798</v>
      </c>
      <c r="D348" s="59" t="s">
        <v>151</v>
      </c>
      <c r="E348" s="57" t="s">
        <v>799</v>
      </c>
      <c r="F348" s="54" t="s">
        <v>151</v>
      </c>
      <c r="G348" s="54" t="s">
        <v>410</v>
      </c>
      <c r="H348" s="54">
        <v>5</v>
      </c>
      <c r="I348" s="54">
        <v>0</v>
      </c>
      <c r="J348" s="54">
        <v>0</v>
      </c>
      <c r="K348" s="54">
        <v>14</v>
      </c>
      <c r="L348" s="23"/>
      <c r="N348" t="s">
        <v>161</v>
      </c>
    </row>
    <row r="349" spans="2:14" x14ac:dyDescent="0.25">
      <c r="B349" t="s">
        <v>161</v>
      </c>
      <c r="C349" s="58" t="s">
        <v>800</v>
      </c>
      <c r="D349" s="59" t="s">
        <v>151</v>
      </c>
      <c r="E349" s="57" t="s">
        <v>801</v>
      </c>
      <c r="F349" s="54" t="s">
        <v>151</v>
      </c>
      <c r="G349" s="54" t="s">
        <v>410</v>
      </c>
      <c r="H349" s="54">
        <v>5</v>
      </c>
      <c r="I349" s="54">
        <v>0</v>
      </c>
      <c r="J349" s="54">
        <v>0</v>
      </c>
      <c r="K349" s="54">
        <v>14</v>
      </c>
      <c r="L349" s="23"/>
      <c r="N349" t="s">
        <v>161</v>
      </c>
    </row>
    <row r="350" spans="2:14" x14ac:dyDescent="0.25">
      <c r="B350" t="s">
        <v>161</v>
      </c>
      <c r="C350" s="58" t="s">
        <v>802</v>
      </c>
      <c r="D350" s="59" t="s">
        <v>151</v>
      </c>
      <c r="E350" s="57" t="s">
        <v>803</v>
      </c>
      <c r="F350" s="54" t="s">
        <v>151</v>
      </c>
      <c r="G350" s="54" t="s">
        <v>410</v>
      </c>
      <c r="H350" s="54">
        <v>5</v>
      </c>
      <c r="I350" s="54">
        <v>0</v>
      </c>
      <c r="J350" s="54">
        <v>0</v>
      </c>
      <c r="K350" s="54">
        <v>14</v>
      </c>
      <c r="L350" s="23"/>
      <c r="N350" t="s">
        <v>161</v>
      </c>
    </row>
    <row r="351" spans="2:14" x14ac:dyDescent="0.25">
      <c r="B351" t="s">
        <v>161</v>
      </c>
      <c r="C351" s="58" t="s">
        <v>804</v>
      </c>
      <c r="D351" s="59" t="s">
        <v>151</v>
      </c>
      <c r="E351" s="57" t="s">
        <v>805</v>
      </c>
      <c r="F351" s="54" t="s">
        <v>151</v>
      </c>
      <c r="G351" s="54" t="s">
        <v>410</v>
      </c>
      <c r="H351" s="54">
        <v>5</v>
      </c>
      <c r="I351" s="54">
        <v>0</v>
      </c>
      <c r="J351" s="54">
        <v>0</v>
      </c>
      <c r="K351" s="54">
        <v>14</v>
      </c>
      <c r="L351" s="23"/>
      <c r="N351" t="s">
        <v>161</v>
      </c>
    </row>
    <row r="352" spans="2:14" x14ac:dyDescent="0.25">
      <c r="B352" t="s">
        <v>161</v>
      </c>
      <c r="C352" s="58" t="s">
        <v>806</v>
      </c>
      <c r="D352" s="59" t="s">
        <v>151</v>
      </c>
      <c r="E352" s="57" t="s">
        <v>807</v>
      </c>
      <c r="F352" s="54" t="s">
        <v>151</v>
      </c>
      <c r="G352" s="54" t="s">
        <v>410</v>
      </c>
      <c r="H352" s="54">
        <v>5</v>
      </c>
      <c r="I352" s="54">
        <v>0</v>
      </c>
      <c r="J352" s="54">
        <v>0</v>
      </c>
      <c r="K352" s="54">
        <v>14</v>
      </c>
      <c r="L352" s="23"/>
      <c r="N352" t="s">
        <v>161</v>
      </c>
    </row>
    <row r="353" spans="2:14" x14ac:dyDescent="0.25">
      <c r="B353" t="s">
        <v>161</v>
      </c>
      <c r="C353" s="58" t="s">
        <v>808</v>
      </c>
      <c r="D353" s="59" t="s">
        <v>151</v>
      </c>
      <c r="E353" s="57" t="s">
        <v>809</v>
      </c>
      <c r="F353" s="54" t="s">
        <v>151</v>
      </c>
      <c r="G353" s="54" t="s">
        <v>410</v>
      </c>
      <c r="H353" s="54">
        <v>5</v>
      </c>
      <c r="I353" s="54">
        <v>0</v>
      </c>
      <c r="J353" s="54">
        <v>0</v>
      </c>
      <c r="K353" s="54">
        <v>14</v>
      </c>
      <c r="L353" s="23"/>
      <c r="N353" t="s">
        <v>161</v>
      </c>
    </row>
    <row r="354" spans="2:14" x14ac:dyDescent="0.25">
      <c r="B354" t="s">
        <v>161</v>
      </c>
      <c r="C354" s="58" t="s">
        <v>810</v>
      </c>
      <c r="D354" s="59" t="s">
        <v>151</v>
      </c>
      <c r="E354" s="57" t="s">
        <v>811</v>
      </c>
      <c r="F354" s="54" t="s">
        <v>151</v>
      </c>
      <c r="G354" s="54" t="s">
        <v>410</v>
      </c>
      <c r="H354" s="54">
        <v>5</v>
      </c>
      <c r="I354" s="54">
        <v>0</v>
      </c>
      <c r="J354" s="54">
        <v>0</v>
      </c>
      <c r="K354" s="54">
        <v>14</v>
      </c>
      <c r="L354" s="23"/>
      <c r="N354" t="s">
        <v>161</v>
      </c>
    </row>
    <row r="355" spans="2:14" x14ac:dyDescent="0.25">
      <c r="B355" t="s">
        <v>161</v>
      </c>
      <c r="C355" s="58" t="s">
        <v>812</v>
      </c>
      <c r="D355" s="59" t="s">
        <v>151</v>
      </c>
      <c r="E355" s="57" t="s">
        <v>813</v>
      </c>
      <c r="F355" s="54" t="s">
        <v>151</v>
      </c>
      <c r="G355" s="54" t="s">
        <v>410</v>
      </c>
      <c r="H355" s="54">
        <v>5</v>
      </c>
      <c r="I355" s="54">
        <v>0</v>
      </c>
      <c r="J355" s="54">
        <v>0</v>
      </c>
      <c r="K355" s="54">
        <v>14</v>
      </c>
      <c r="L355" s="23"/>
      <c r="N355" t="s">
        <v>161</v>
      </c>
    </row>
    <row r="356" spans="2:14" x14ac:dyDescent="0.25">
      <c r="B356" t="s">
        <v>161</v>
      </c>
      <c r="C356" s="58" t="s">
        <v>814</v>
      </c>
      <c r="D356" s="59" t="s">
        <v>151</v>
      </c>
      <c r="E356" s="57" t="s">
        <v>815</v>
      </c>
      <c r="F356" s="54" t="s">
        <v>151</v>
      </c>
      <c r="G356" s="54" t="s">
        <v>410</v>
      </c>
      <c r="H356" s="54">
        <v>5</v>
      </c>
      <c r="I356" s="54">
        <v>0</v>
      </c>
      <c r="J356" s="54">
        <v>0</v>
      </c>
      <c r="K356" s="54">
        <v>14</v>
      </c>
      <c r="L356" s="23"/>
      <c r="N356" t="s">
        <v>161</v>
      </c>
    </row>
    <row r="357" spans="2:14" x14ac:dyDescent="0.25">
      <c r="B357" t="s">
        <v>161</v>
      </c>
      <c r="C357" s="58" t="s">
        <v>816</v>
      </c>
      <c r="D357" s="59" t="s">
        <v>151</v>
      </c>
      <c r="E357" s="57" t="s">
        <v>817</v>
      </c>
      <c r="F357" s="54" t="s">
        <v>151</v>
      </c>
      <c r="G357" s="54" t="s">
        <v>410</v>
      </c>
      <c r="H357" s="54">
        <v>5</v>
      </c>
      <c r="I357" s="54">
        <v>0</v>
      </c>
      <c r="J357" s="54">
        <v>0</v>
      </c>
      <c r="K357" s="54">
        <v>14</v>
      </c>
      <c r="L357" s="23"/>
      <c r="N357" t="s">
        <v>161</v>
      </c>
    </row>
    <row r="358" spans="2:14" x14ac:dyDescent="0.25">
      <c r="B358" t="s">
        <v>161</v>
      </c>
      <c r="C358" s="58" t="s">
        <v>818</v>
      </c>
      <c r="D358" s="59" t="s">
        <v>151</v>
      </c>
      <c r="E358" s="57" t="s">
        <v>819</v>
      </c>
      <c r="F358" s="54" t="s">
        <v>151</v>
      </c>
      <c r="G358" s="54" t="s">
        <v>410</v>
      </c>
      <c r="H358" s="54">
        <v>5</v>
      </c>
      <c r="I358" s="54">
        <v>0</v>
      </c>
      <c r="J358" s="54">
        <v>0</v>
      </c>
      <c r="K358" s="54">
        <v>14</v>
      </c>
      <c r="L358" s="23"/>
      <c r="N358" t="s">
        <v>161</v>
      </c>
    </row>
    <row r="359" spans="2:14" x14ac:dyDescent="0.25">
      <c r="B359" t="s">
        <v>161</v>
      </c>
      <c r="C359" s="58" t="s">
        <v>820</v>
      </c>
      <c r="D359" s="59" t="s">
        <v>151</v>
      </c>
      <c r="E359" s="57" t="s">
        <v>821</v>
      </c>
      <c r="F359" s="54" t="s">
        <v>151</v>
      </c>
      <c r="G359" s="54" t="s">
        <v>410</v>
      </c>
      <c r="H359" s="54">
        <v>5</v>
      </c>
      <c r="I359" s="54">
        <v>0</v>
      </c>
      <c r="J359" s="54">
        <v>20.8</v>
      </c>
      <c r="K359" s="54">
        <v>14</v>
      </c>
      <c r="L359" s="23"/>
      <c r="N359" t="s">
        <v>161</v>
      </c>
    </row>
    <row r="360" spans="2:14" x14ac:dyDescent="0.25">
      <c r="B360" t="s">
        <v>161</v>
      </c>
      <c r="C360" s="58" t="s">
        <v>822</v>
      </c>
      <c r="D360" s="59" t="s">
        <v>151</v>
      </c>
      <c r="E360" s="57" t="s">
        <v>823</v>
      </c>
      <c r="F360" s="54" t="s">
        <v>151</v>
      </c>
      <c r="G360" s="54" t="s">
        <v>410</v>
      </c>
      <c r="H360" s="54">
        <v>5</v>
      </c>
      <c r="I360" s="54">
        <v>0</v>
      </c>
      <c r="J360" s="54">
        <v>17</v>
      </c>
      <c r="K360" s="54">
        <v>14</v>
      </c>
      <c r="L360" s="23"/>
      <c r="N360" t="s">
        <v>161</v>
      </c>
    </row>
    <row r="361" spans="2:14" x14ac:dyDescent="0.25">
      <c r="B361" t="s">
        <v>161</v>
      </c>
      <c r="C361" s="58" t="s">
        <v>824</v>
      </c>
      <c r="D361" s="59" t="s">
        <v>151</v>
      </c>
      <c r="E361" s="57" t="s">
        <v>825</v>
      </c>
      <c r="F361" s="54" t="s">
        <v>151</v>
      </c>
      <c r="G361" s="54" t="s">
        <v>410</v>
      </c>
      <c r="H361" s="54">
        <v>5</v>
      </c>
      <c r="I361" s="54">
        <v>0</v>
      </c>
      <c r="J361" s="54">
        <v>0</v>
      </c>
      <c r="K361" s="54">
        <v>14</v>
      </c>
      <c r="L361" s="23"/>
      <c r="N361" t="s">
        <v>161</v>
      </c>
    </row>
    <row r="362" spans="2:14" x14ac:dyDescent="0.25">
      <c r="B362" t="s">
        <v>161</v>
      </c>
      <c r="C362" s="58" t="s">
        <v>826</v>
      </c>
      <c r="D362" s="59" t="s">
        <v>151</v>
      </c>
      <c r="E362" s="57" t="s">
        <v>827</v>
      </c>
      <c r="F362" s="54" t="s">
        <v>151</v>
      </c>
      <c r="G362" s="54" t="s">
        <v>410</v>
      </c>
      <c r="H362" s="54">
        <v>5</v>
      </c>
      <c r="I362" s="54">
        <v>0</v>
      </c>
      <c r="J362" s="54">
        <v>0</v>
      </c>
      <c r="K362" s="54">
        <v>14</v>
      </c>
      <c r="L362" s="23"/>
      <c r="N362" t="s">
        <v>161</v>
      </c>
    </row>
    <row r="363" spans="2:14" x14ac:dyDescent="0.25">
      <c r="B363" t="s">
        <v>161</v>
      </c>
      <c r="C363" s="58" t="s">
        <v>828</v>
      </c>
      <c r="D363" s="59" t="s">
        <v>151</v>
      </c>
      <c r="E363" s="57" t="s">
        <v>825</v>
      </c>
      <c r="F363" s="54" t="s">
        <v>151</v>
      </c>
      <c r="G363" s="54" t="s">
        <v>410</v>
      </c>
      <c r="H363" s="54">
        <v>5</v>
      </c>
      <c r="I363" s="54">
        <v>0</v>
      </c>
      <c r="J363" s="54">
        <v>0</v>
      </c>
      <c r="K363" s="54">
        <v>14</v>
      </c>
      <c r="L363" s="23"/>
      <c r="N363" t="s">
        <v>161</v>
      </c>
    </row>
    <row r="364" spans="2:14" x14ac:dyDescent="0.25">
      <c r="B364" t="s">
        <v>161</v>
      </c>
      <c r="C364" s="58" t="s">
        <v>829</v>
      </c>
      <c r="D364" s="59" t="s">
        <v>151</v>
      </c>
      <c r="E364" s="57" t="s">
        <v>827</v>
      </c>
      <c r="F364" s="54" t="s">
        <v>151</v>
      </c>
      <c r="G364" s="54" t="s">
        <v>410</v>
      </c>
      <c r="H364" s="54">
        <v>5</v>
      </c>
      <c r="I364" s="54">
        <v>0</v>
      </c>
      <c r="J364" s="54">
        <v>0</v>
      </c>
      <c r="K364" s="54">
        <v>14</v>
      </c>
      <c r="L364" s="23"/>
      <c r="N364" t="s">
        <v>161</v>
      </c>
    </row>
    <row r="365" spans="2:14" x14ac:dyDescent="0.25">
      <c r="B365" t="s">
        <v>161</v>
      </c>
      <c r="C365" s="58" t="s">
        <v>830</v>
      </c>
      <c r="D365" s="59" t="s">
        <v>151</v>
      </c>
      <c r="E365" s="57" t="s">
        <v>831</v>
      </c>
      <c r="F365" s="54" t="s">
        <v>151</v>
      </c>
      <c r="G365" s="54" t="s">
        <v>410</v>
      </c>
      <c r="H365" s="54">
        <v>5</v>
      </c>
      <c r="I365" s="54">
        <v>0</v>
      </c>
      <c r="J365" s="54">
        <v>0</v>
      </c>
      <c r="K365" s="54">
        <v>14</v>
      </c>
      <c r="L365" s="23"/>
      <c r="N365" t="s">
        <v>161</v>
      </c>
    </row>
    <row r="366" spans="2:14" x14ac:dyDescent="0.25">
      <c r="B366" t="s">
        <v>161</v>
      </c>
      <c r="C366" s="58" t="s">
        <v>832</v>
      </c>
      <c r="D366" s="59" t="s">
        <v>151</v>
      </c>
      <c r="E366" s="57" t="s">
        <v>833</v>
      </c>
      <c r="F366" s="54" t="s">
        <v>151</v>
      </c>
      <c r="G366" s="54" t="s">
        <v>410</v>
      </c>
      <c r="H366" s="54">
        <v>5</v>
      </c>
      <c r="I366" s="54">
        <v>0</v>
      </c>
      <c r="J366" s="54">
        <v>0</v>
      </c>
      <c r="K366" s="54">
        <v>14</v>
      </c>
      <c r="L366" s="23"/>
      <c r="N366" t="s">
        <v>161</v>
      </c>
    </row>
    <row r="367" spans="2:14" x14ac:dyDescent="0.25">
      <c r="B367" t="s">
        <v>161</v>
      </c>
      <c r="C367" s="58" t="s">
        <v>834</v>
      </c>
      <c r="D367" s="59" t="s">
        <v>151</v>
      </c>
      <c r="E367" s="57" t="s">
        <v>835</v>
      </c>
      <c r="F367" s="54" t="s">
        <v>151</v>
      </c>
      <c r="G367" s="54" t="s">
        <v>410</v>
      </c>
      <c r="H367" s="54">
        <v>5</v>
      </c>
      <c r="I367" s="54">
        <v>0</v>
      </c>
      <c r="J367" s="54">
        <v>0</v>
      </c>
      <c r="K367" s="54">
        <v>14</v>
      </c>
      <c r="L367" s="23"/>
      <c r="N367" t="s">
        <v>161</v>
      </c>
    </row>
    <row r="368" spans="2:14" x14ac:dyDescent="0.25">
      <c r="B368" t="s">
        <v>161</v>
      </c>
      <c r="C368" s="58" t="s">
        <v>836</v>
      </c>
      <c r="D368" s="59" t="s">
        <v>151</v>
      </c>
      <c r="E368" s="57" t="s">
        <v>837</v>
      </c>
      <c r="F368" s="54" t="s">
        <v>151</v>
      </c>
      <c r="G368" s="54" t="s">
        <v>410</v>
      </c>
      <c r="H368" s="54">
        <v>5</v>
      </c>
      <c r="I368" s="54">
        <v>0</v>
      </c>
      <c r="J368" s="54">
        <v>0</v>
      </c>
      <c r="K368" s="54">
        <v>14</v>
      </c>
      <c r="L368" s="23"/>
      <c r="N368" t="s">
        <v>161</v>
      </c>
    </row>
    <row r="369" spans="2:14" x14ac:dyDescent="0.25">
      <c r="B369" t="s">
        <v>161</v>
      </c>
      <c r="C369" s="58" t="s">
        <v>838</v>
      </c>
      <c r="D369" s="59" t="s">
        <v>151</v>
      </c>
      <c r="E369" s="57" t="s">
        <v>839</v>
      </c>
      <c r="F369" s="54" t="s">
        <v>151</v>
      </c>
      <c r="G369" s="54" t="s">
        <v>410</v>
      </c>
      <c r="H369" s="54">
        <v>5</v>
      </c>
      <c r="I369" s="54">
        <v>0</v>
      </c>
      <c r="J369" s="54">
        <v>0</v>
      </c>
      <c r="K369" s="54">
        <v>14</v>
      </c>
      <c r="L369" s="23"/>
      <c r="N369" t="s">
        <v>161</v>
      </c>
    </row>
    <row r="370" spans="2:14" x14ac:dyDescent="0.25">
      <c r="B370" t="s">
        <v>161</v>
      </c>
      <c r="C370" s="58" t="s">
        <v>840</v>
      </c>
      <c r="D370" s="59" t="s">
        <v>151</v>
      </c>
      <c r="E370" s="57" t="s">
        <v>841</v>
      </c>
      <c r="F370" s="54" t="s">
        <v>151</v>
      </c>
      <c r="G370" s="54" t="s">
        <v>410</v>
      </c>
      <c r="H370" s="54">
        <v>5</v>
      </c>
      <c r="I370" s="54">
        <v>0</v>
      </c>
      <c r="J370" s="54">
        <v>0</v>
      </c>
      <c r="K370" s="54">
        <v>14</v>
      </c>
      <c r="L370" s="23"/>
      <c r="N370" t="s">
        <v>161</v>
      </c>
    </row>
    <row r="371" spans="2:14" x14ac:dyDescent="0.25">
      <c r="B371" t="s">
        <v>161</v>
      </c>
      <c r="C371" s="58" t="s">
        <v>842</v>
      </c>
      <c r="D371" s="59" t="s">
        <v>151</v>
      </c>
      <c r="E371" s="57" t="s">
        <v>843</v>
      </c>
      <c r="F371" s="54" t="s">
        <v>151</v>
      </c>
      <c r="G371" s="54" t="s">
        <v>410</v>
      </c>
      <c r="H371" s="54">
        <v>5</v>
      </c>
      <c r="I371" s="54">
        <v>0</v>
      </c>
      <c r="J371" s="54">
        <v>0</v>
      </c>
      <c r="K371" s="54">
        <v>14</v>
      </c>
      <c r="L371" s="23"/>
      <c r="N371" t="s">
        <v>161</v>
      </c>
    </row>
    <row r="372" spans="2:14" x14ac:dyDescent="0.25">
      <c r="B372" t="s">
        <v>161</v>
      </c>
      <c r="C372" s="58" t="s">
        <v>844</v>
      </c>
      <c r="D372" s="59" t="s">
        <v>151</v>
      </c>
      <c r="E372" s="57" t="s">
        <v>845</v>
      </c>
      <c r="F372" s="54" t="s">
        <v>151</v>
      </c>
      <c r="G372" s="54" t="s">
        <v>410</v>
      </c>
      <c r="H372" s="54">
        <v>5</v>
      </c>
      <c r="I372" s="54">
        <v>0</v>
      </c>
      <c r="J372" s="54">
        <v>0</v>
      </c>
      <c r="K372" s="54">
        <v>14</v>
      </c>
      <c r="L372" s="23"/>
      <c r="N372" t="s">
        <v>161</v>
      </c>
    </row>
    <row r="373" spans="2:14" x14ac:dyDescent="0.25">
      <c r="B373" t="s">
        <v>161</v>
      </c>
      <c r="C373" s="58" t="s">
        <v>846</v>
      </c>
      <c r="D373" s="59" t="s">
        <v>151</v>
      </c>
      <c r="E373" s="57" t="s">
        <v>847</v>
      </c>
      <c r="F373" s="54" t="s">
        <v>151</v>
      </c>
      <c r="G373" s="54" t="s">
        <v>410</v>
      </c>
      <c r="H373" s="54">
        <v>5</v>
      </c>
      <c r="I373" s="54">
        <v>0</v>
      </c>
      <c r="J373" s="54">
        <v>0</v>
      </c>
      <c r="K373" s="54">
        <v>14</v>
      </c>
      <c r="L373" s="23"/>
      <c r="N373" t="s">
        <v>161</v>
      </c>
    </row>
    <row r="374" spans="2:14" x14ac:dyDescent="0.25">
      <c r="B374" t="s">
        <v>161</v>
      </c>
      <c r="C374" s="58" t="s">
        <v>848</v>
      </c>
      <c r="D374" s="59" t="s">
        <v>151</v>
      </c>
      <c r="E374" s="57" t="s">
        <v>849</v>
      </c>
      <c r="F374" s="54" t="s">
        <v>151</v>
      </c>
      <c r="G374" s="54" t="s">
        <v>410</v>
      </c>
      <c r="H374" s="54">
        <v>5</v>
      </c>
      <c r="I374" s="54">
        <v>0</v>
      </c>
      <c r="J374" s="54">
        <v>0</v>
      </c>
      <c r="K374" s="54">
        <v>14</v>
      </c>
      <c r="L374" s="23"/>
      <c r="N374" t="s">
        <v>161</v>
      </c>
    </row>
    <row r="375" spans="2:14" x14ac:dyDescent="0.25">
      <c r="B375" t="s">
        <v>161</v>
      </c>
      <c r="C375" s="58" t="s">
        <v>850</v>
      </c>
      <c r="D375" s="59" t="s">
        <v>151</v>
      </c>
      <c r="E375" s="57" t="s">
        <v>851</v>
      </c>
      <c r="F375" s="54" t="s">
        <v>151</v>
      </c>
      <c r="G375" s="54" t="s">
        <v>410</v>
      </c>
      <c r="H375" s="54">
        <v>5</v>
      </c>
      <c r="I375" s="54">
        <v>0</v>
      </c>
      <c r="J375" s="54">
        <v>17.899999999999999</v>
      </c>
      <c r="K375" s="54">
        <v>14</v>
      </c>
      <c r="L375" s="23"/>
      <c r="N375" t="s">
        <v>161</v>
      </c>
    </row>
    <row r="376" spans="2:14" x14ac:dyDescent="0.25">
      <c r="B376" t="s">
        <v>161</v>
      </c>
      <c r="C376" s="58" t="s">
        <v>852</v>
      </c>
      <c r="D376" s="59" t="s">
        <v>151</v>
      </c>
      <c r="E376" s="57" t="s">
        <v>853</v>
      </c>
      <c r="F376" s="54" t="s">
        <v>151</v>
      </c>
      <c r="G376" s="54" t="s">
        <v>410</v>
      </c>
      <c r="H376" s="54">
        <v>5</v>
      </c>
      <c r="I376" s="54">
        <v>0</v>
      </c>
      <c r="J376" s="54">
        <v>17.899999999999999</v>
      </c>
      <c r="K376" s="54">
        <v>14</v>
      </c>
      <c r="L376" s="23"/>
      <c r="N376" t="s">
        <v>161</v>
      </c>
    </row>
    <row r="377" spans="2:14" x14ac:dyDescent="0.25">
      <c r="B377" t="s">
        <v>161</v>
      </c>
      <c r="C377" s="58" t="s">
        <v>854</v>
      </c>
      <c r="D377" s="59" t="s">
        <v>151</v>
      </c>
      <c r="E377" s="57" t="s">
        <v>777</v>
      </c>
      <c r="F377" s="54" t="s">
        <v>151</v>
      </c>
      <c r="G377" s="54" t="s">
        <v>410</v>
      </c>
      <c r="H377" s="54">
        <v>5</v>
      </c>
      <c r="I377" s="54">
        <v>0</v>
      </c>
      <c r="J377" s="54">
        <v>18.100000000000001</v>
      </c>
      <c r="K377" s="54">
        <v>14</v>
      </c>
      <c r="L377" s="23"/>
      <c r="N377" t="s">
        <v>161</v>
      </c>
    </row>
    <row r="378" spans="2:14" x14ac:dyDescent="0.25">
      <c r="B378" t="s">
        <v>161</v>
      </c>
      <c r="C378" s="58" t="s">
        <v>855</v>
      </c>
      <c r="D378" s="59" t="s">
        <v>151</v>
      </c>
      <c r="E378" s="57" t="s">
        <v>779</v>
      </c>
      <c r="F378" s="54" t="s">
        <v>151</v>
      </c>
      <c r="G378" s="54" t="s">
        <v>410</v>
      </c>
      <c r="H378" s="54">
        <v>5</v>
      </c>
      <c r="I378" s="54">
        <v>0</v>
      </c>
      <c r="J378" s="54">
        <v>14.3</v>
      </c>
      <c r="K378" s="54">
        <v>14</v>
      </c>
      <c r="L378" s="23"/>
      <c r="N378" t="s">
        <v>161</v>
      </c>
    </row>
    <row r="379" spans="2:14" x14ac:dyDescent="0.25">
      <c r="B379" t="s">
        <v>161</v>
      </c>
      <c r="C379" s="58" t="s">
        <v>856</v>
      </c>
      <c r="D379" s="59" t="s">
        <v>151</v>
      </c>
      <c r="E379" s="57" t="s">
        <v>857</v>
      </c>
      <c r="F379" s="54" t="s">
        <v>151</v>
      </c>
      <c r="G379" s="54" t="s">
        <v>410</v>
      </c>
      <c r="H379" s="54">
        <v>5</v>
      </c>
      <c r="I379" s="54">
        <v>0</v>
      </c>
      <c r="J379" s="54">
        <v>11.9</v>
      </c>
      <c r="K379" s="54">
        <v>14</v>
      </c>
      <c r="L379" s="23"/>
      <c r="N379" t="s">
        <v>161</v>
      </c>
    </row>
    <row r="380" spans="2:14" x14ac:dyDescent="0.25">
      <c r="B380" t="s">
        <v>161</v>
      </c>
      <c r="C380" s="58" t="s">
        <v>858</v>
      </c>
      <c r="D380" s="59" t="s">
        <v>151</v>
      </c>
      <c r="E380" s="57" t="s">
        <v>859</v>
      </c>
      <c r="F380" s="54" t="s">
        <v>151</v>
      </c>
      <c r="G380" s="54" t="s">
        <v>410</v>
      </c>
      <c r="H380" s="54">
        <v>5</v>
      </c>
      <c r="I380" s="54">
        <v>0</v>
      </c>
      <c r="J380" s="54">
        <v>14</v>
      </c>
      <c r="K380" s="54">
        <v>14</v>
      </c>
      <c r="L380" s="23"/>
      <c r="N380" t="s">
        <v>161</v>
      </c>
    </row>
    <row r="381" spans="2:14" x14ac:dyDescent="0.25">
      <c r="B381" t="s">
        <v>161</v>
      </c>
      <c r="C381" s="58" t="s">
        <v>860</v>
      </c>
      <c r="D381" s="59" t="s">
        <v>151</v>
      </c>
      <c r="E381" s="57" t="s">
        <v>861</v>
      </c>
      <c r="F381" s="54" t="s">
        <v>151</v>
      </c>
      <c r="G381" s="54" t="s">
        <v>410</v>
      </c>
      <c r="H381" s="54">
        <v>5</v>
      </c>
      <c r="I381" s="54">
        <v>0</v>
      </c>
      <c r="J381" s="54">
        <v>0</v>
      </c>
      <c r="K381" s="54">
        <v>14</v>
      </c>
      <c r="L381" s="23"/>
      <c r="N381" t="s">
        <v>161</v>
      </c>
    </row>
    <row r="382" spans="2:14" x14ac:dyDescent="0.25">
      <c r="B382" t="s">
        <v>161</v>
      </c>
      <c r="C382" s="58" t="s">
        <v>862</v>
      </c>
      <c r="D382" s="59" t="s">
        <v>151</v>
      </c>
      <c r="E382" s="57" t="s">
        <v>863</v>
      </c>
      <c r="F382" s="54" t="s">
        <v>151</v>
      </c>
      <c r="G382" s="54" t="s">
        <v>410</v>
      </c>
      <c r="H382" s="54">
        <v>5</v>
      </c>
      <c r="I382" s="54">
        <v>0</v>
      </c>
      <c r="J382" s="54">
        <v>0</v>
      </c>
      <c r="K382" s="54">
        <v>14</v>
      </c>
      <c r="L382" s="23"/>
      <c r="N382" t="s">
        <v>161</v>
      </c>
    </row>
    <row r="383" spans="2:14" x14ac:dyDescent="0.25">
      <c r="B383" t="s">
        <v>161</v>
      </c>
      <c r="C383" s="58" t="s">
        <v>864</v>
      </c>
      <c r="D383" s="59" t="s">
        <v>151</v>
      </c>
      <c r="E383" s="57" t="s">
        <v>865</v>
      </c>
      <c r="F383" s="54" t="s">
        <v>151</v>
      </c>
      <c r="G383" s="54" t="s">
        <v>410</v>
      </c>
      <c r="H383" s="54">
        <v>5</v>
      </c>
      <c r="I383" s="54">
        <v>0</v>
      </c>
      <c r="J383" s="54">
        <v>0</v>
      </c>
      <c r="K383" s="54">
        <v>14</v>
      </c>
      <c r="L383" s="23"/>
      <c r="N383" t="s">
        <v>161</v>
      </c>
    </row>
    <row r="384" spans="2:14" x14ac:dyDescent="0.25">
      <c r="B384" t="s">
        <v>161</v>
      </c>
      <c r="C384" s="58" t="s">
        <v>866</v>
      </c>
      <c r="D384" s="59" t="s">
        <v>151</v>
      </c>
      <c r="E384" s="57" t="s">
        <v>867</v>
      </c>
      <c r="F384" s="54" t="s">
        <v>151</v>
      </c>
      <c r="G384" s="54" t="s">
        <v>410</v>
      </c>
      <c r="H384" s="54">
        <v>5</v>
      </c>
      <c r="I384" s="54">
        <v>0</v>
      </c>
      <c r="J384" s="54">
        <v>0</v>
      </c>
      <c r="K384" s="54">
        <v>14</v>
      </c>
      <c r="L384" s="23"/>
      <c r="N384" t="s">
        <v>161</v>
      </c>
    </row>
    <row r="385" spans="2:14" x14ac:dyDescent="0.25">
      <c r="B385" t="s">
        <v>161</v>
      </c>
      <c r="C385" s="58" t="s">
        <v>868</v>
      </c>
      <c r="D385" s="59" t="s">
        <v>151</v>
      </c>
      <c r="E385" s="57" t="s">
        <v>869</v>
      </c>
      <c r="F385" s="54" t="s">
        <v>151</v>
      </c>
      <c r="G385" s="54" t="s">
        <v>410</v>
      </c>
      <c r="H385" s="54">
        <v>5</v>
      </c>
      <c r="I385" s="54">
        <v>0</v>
      </c>
      <c r="J385" s="54">
        <v>0</v>
      </c>
      <c r="K385" s="54">
        <v>14</v>
      </c>
      <c r="L385" s="23"/>
      <c r="N385" t="s">
        <v>161</v>
      </c>
    </row>
    <row r="386" spans="2:14" x14ac:dyDescent="0.25">
      <c r="B386" t="s">
        <v>161</v>
      </c>
      <c r="C386" s="58" t="s">
        <v>870</v>
      </c>
      <c r="D386" s="59" t="s">
        <v>151</v>
      </c>
      <c r="E386" s="57" t="s">
        <v>871</v>
      </c>
      <c r="F386" s="54" t="s">
        <v>151</v>
      </c>
      <c r="G386" s="54" t="s">
        <v>410</v>
      </c>
      <c r="H386" s="54">
        <v>5</v>
      </c>
      <c r="I386" s="54">
        <v>0</v>
      </c>
      <c r="J386" s="54">
        <v>0</v>
      </c>
      <c r="K386" s="54">
        <v>14</v>
      </c>
      <c r="L386" s="23"/>
      <c r="N386" t="s">
        <v>161</v>
      </c>
    </row>
    <row r="387" spans="2:14" x14ac:dyDescent="0.25">
      <c r="B387" t="s">
        <v>161</v>
      </c>
      <c r="C387" s="58" t="s">
        <v>872</v>
      </c>
      <c r="D387" s="59" t="s">
        <v>151</v>
      </c>
      <c r="E387" s="57" t="s">
        <v>873</v>
      </c>
      <c r="F387" s="54" t="s">
        <v>151</v>
      </c>
      <c r="G387" s="54" t="s">
        <v>410</v>
      </c>
      <c r="H387" s="54">
        <v>5</v>
      </c>
      <c r="I387" s="54">
        <v>0</v>
      </c>
      <c r="J387" s="54">
        <v>0</v>
      </c>
      <c r="K387" s="54">
        <v>14</v>
      </c>
      <c r="L387" s="23"/>
      <c r="N387" t="s">
        <v>161</v>
      </c>
    </row>
    <row r="388" spans="2:14" x14ac:dyDescent="0.25">
      <c r="B388" t="s">
        <v>161</v>
      </c>
      <c r="C388" s="58" t="s">
        <v>874</v>
      </c>
      <c r="D388" s="59" t="s">
        <v>151</v>
      </c>
      <c r="E388" s="57" t="s">
        <v>875</v>
      </c>
      <c r="F388" s="54" t="s">
        <v>151</v>
      </c>
      <c r="G388" s="54" t="s">
        <v>410</v>
      </c>
      <c r="H388" s="54">
        <v>5</v>
      </c>
      <c r="I388" s="54">
        <v>0</v>
      </c>
      <c r="J388" s="54">
        <v>0</v>
      </c>
      <c r="K388" s="54">
        <v>14</v>
      </c>
      <c r="L388" s="23"/>
      <c r="N388" t="s">
        <v>161</v>
      </c>
    </row>
    <row r="389" spans="2:14" x14ac:dyDescent="0.25">
      <c r="B389" t="s">
        <v>161</v>
      </c>
      <c r="C389" s="58" t="s">
        <v>876</v>
      </c>
      <c r="D389" s="59" t="s">
        <v>151</v>
      </c>
      <c r="E389" s="57" t="s">
        <v>877</v>
      </c>
      <c r="F389" s="54" t="s">
        <v>151</v>
      </c>
      <c r="G389" s="54" t="s">
        <v>410</v>
      </c>
      <c r="H389" s="54">
        <v>5</v>
      </c>
      <c r="I389" s="54">
        <v>0</v>
      </c>
      <c r="J389" s="54">
        <v>0</v>
      </c>
      <c r="K389" s="54">
        <v>14</v>
      </c>
      <c r="L389" s="23"/>
      <c r="N389" t="s">
        <v>161</v>
      </c>
    </row>
    <row r="390" spans="2:14" x14ac:dyDescent="0.25">
      <c r="B390" t="s">
        <v>161</v>
      </c>
      <c r="C390" s="58" t="s">
        <v>878</v>
      </c>
      <c r="D390" s="59" t="s">
        <v>151</v>
      </c>
      <c r="E390" s="57" t="s">
        <v>879</v>
      </c>
      <c r="F390" s="54" t="s">
        <v>151</v>
      </c>
      <c r="G390" s="54" t="s">
        <v>410</v>
      </c>
      <c r="H390" s="54">
        <v>5</v>
      </c>
      <c r="I390" s="54">
        <v>0</v>
      </c>
      <c r="J390" s="54">
        <v>0</v>
      </c>
      <c r="K390" s="54">
        <v>14</v>
      </c>
      <c r="L390" s="23"/>
      <c r="N390" t="s">
        <v>161</v>
      </c>
    </row>
    <row r="391" spans="2:14" x14ac:dyDescent="0.25">
      <c r="B391" t="s">
        <v>161</v>
      </c>
      <c r="C391" s="58" t="s">
        <v>880</v>
      </c>
      <c r="D391" s="59" t="s">
        <v>151</v>
      </c>
      <c r="E391" s="57" t="s">
        <v>705</v>
      </c>
      <c r="F391" s="54" t="s">
        <v>151</v>
      </c>
      <c r="G391" s="54" t="s">
        <v>410</v>
      </c>
      <c r="H391" s="54">
        <v>5</v>
      </c>
      <c r="I391" s="54">
        <v>0</v>
      </c>
      <c r="J391" s="54">
        <v>0</v>
      </c>
      <c r="K391" s="54">
        <v>14</v>
      </c>
      <c r="L391" s="23"/>
      <c r="N391" t="s">
        <v>161</v>
      </c>
    </row>
    <row r="392" spans="2:14" x14ac:dyDescent="0.25">
      <c r="B392" t="s">
        <v>161</v>
      </c>
      <c r="C392" s="58" t="s">
        <v>881</v>
      </c>
      <c r="D392" s="59" t="s">
        <v>151</v>
      </c>
      <c r="E392" s="57" t="s">
        <v>707</v>
      </c>
      <c r="F392" s="54" t="s">
        <v>151</v>
      </c>
      <c r="G392" s="54" t="s">
        <v>410</v>
      </c>
      <c r="H392" s="54">
        <v>5</v>
      </c>
      <c r="I392" s="54">
        <v>0</v>
      </c>
      <c r="J392" s="54">
        <v>0</v>
      </c>
      <c r="K392" s="54">
        <v>14</v>
      </c>
      <c r="L392" s="23"/>
      <c r="N392" t="s">
        <v>161</v>
      </c>
    </row>
    <row r="393" spans="2:14" x14ac:dyDescent="0.25">
      <c r="B393" t="s">
        <v>161</v>
      </c>
      <c r="C393" s="58" t="s">
        <v>882</v>
      </c>
      <c r="D393" s="59" t="s">
        <v>151</v>
      </c>
      <c r="E393" s="57" t="s">
        <v>883</v>
      </c>
      <c r="F393" s="54" t="s">
        <v>151</v>
      </c>
      <c r="G393" s="54" t="s">
        <v>410</v>
      </c>
      <c r="H393" s="54">
        <v>5</v>
      </c>
      <c r="I393" s="54">
        <v>0</v>
      </c>
      <c r="J393" s="54">
        <v>16.5</v>
      </c>
      <c r="K393" s="54">
        <v>14</v>
      </c>
      <c r="L393" s="23"/>
      <c r="N393" t="s">
        <v>161</v>
      </c>
    </row>
    <row r="394" spans="2:14" x14ac:dyDescent="0.25">
      <c r="B394" t="s">
        <v>161</v>
      </c>
      <c r="C394" s="58" t="s">
        <v>884</v>
      </c>
      <c r="D394" s="59" t="s">
        <v>151</v>
      </c>
      <c r="E394" s="57" t="s">
        <v>885</v>
      </c>
      <c r="F394" s="54" t="s">
        <v>151</v>
      </c>
      <c r="G394" s="54" t="s">
        <v>410</v>
      </c>
      <c r="H394" s="54">
        <v>5</v>
      </c>
      <c r="I394" s="54">
        <v>0</v>
      </c>
      <c r="J394" s="54">
        <v>25.7</v>
      </c>
      <c r="K394" s="54">
        <v>14</v>
      </c>
      <c r="L394" s="23"/>
      <c r="N394" t="s">
        <v>161</v>
      </c>
    </row>
    <row r="395" spans="2:14" x14ac:dyDescent="0.25">
      <c r="B395" t="s">
        <v>161</v>
      </c>
      <c r="C395" s="58" t="s">
        <v>886</v>
      </c>
      <c r="D395" s="59" t="s">
        <v>151</v>
      </c>
      <c r="E395" s="57" t="s">
        <v>887</v>
      </c>
      <c r="F395" s="54" t="s">
        <v>151</v>
      </c>
      <c r="G395" s="54" t="s">
        <v>410</v>
      </c>
      <c r="H395" s="54">
        <v>5</v>
      </c>
      <c r="I395" s="54">
        <v>0</v>
      </c>
      <c r="J395" s="54">
        <v>0</v>
      </c>
      <c r="K395" s="54">
        <v>14</v>
      </c>
      <c r="L395" s="23"/>
      <c r="N395" t="s">
        <v>161</v>
      </c>
    </row>
    <row r="396" spans="2:14" x14ac:dyDescent="0.25">
      <c r="B396" t="s">
        <v>161</v>
      </c>
      <c r="C396" s="58" t="s">
        <v>888</v>
      </c>
      <c r="D396" s="59" t="s">
        <v>151</v>
      </c>
      <c r="E396" s="57" t="s">
        <v>889</v>
      </c>
      <c r="F396" s="54" t="s">
        <v>151</v>
      </c>
      <c r="G396" s="54" t="s">
        <v>410</v>
      </c>
      <c r="H396" s="54">
        <v>5</v>
      </c>
      <c r="I396" s="54">
        <v>0</v>
      </c>
      <c r="J396" s="54">
        <v>0</v>
      </c>
      <c r="K396" s="54">
        <v>14</v>
      </c>
      <c r="L396" s="23"/>
      <c r="N396" t="s">
        <v>161</v>
      </c>
    </row>
    <row r="397" spans="2:14" x14ac:dyDescent="0.25">
      <c r="B397" t="s">
        <v>161</v>
      </c>
      <c r="C397" s="58" t="s">
        <v>890</v>
      </c>
      <c r="D397" s="59" t="s">
        <v>151</v>
      </c>
      <c r="E397" s="57" t="s">
        <v>891</v>
      </c>
      <c r="F397" s="54" t="s">
        <v>151</v>
      </c>
      <c r="G397" s="54" t="s">
        <v>410</v>
      </c>
      <c r="H397" s="54">
        <v>5</v>
      </c>
      <c r="I397" s="54">
        <v>0</v>
      </c>
      <c r="J397" s="54">
        <v>0</v>
      </c>
      <c r="K397" s="54">
        <v>14</v>
      </c>
      <c r="L397" s="23"/>
      <c r="N397" t="s">
        <v>161</v>
      </c>
    </row>
    <row r="398" spans="2:14" x14ac:dyDescent="0.25">
      <c r="B398" t="s">
        <v>161</v>
      </c>
      <c r="C398" s="58" t="s">
        <v>892</v>
      </c>
      <c r="D398" s="59" t="s">
        <v>151</v>
      </c>
      <c r="E398" s="57" t="s">
        <v>893</v>
      </c>
      <c r="F398" s="54" t="s">
        <v>151</v>
      </c>
      <c r="G398" s="54" t="s">
        <v>410</v>
      </c>
      <c r="H398" s="54">
        <v>5</v>
      </c>
      <c r="I398" s="54">
        <v>0</v>
      </c>
      <c r="J398" s="54">
        <v>0</v>
      </c>
      <c r="K398" s="54">
        <v>14</v>
      </c>
      <c r="L398" s="23"/>
      <c r="N398" t="s">
        <v>161</v>
      </c>
    </row>
    <row r="399" spans="2:14" x14ac:dyDescent="0.25">
      <c r="B399" t="s">
        <v>161</v>
      </c>
      <c r="C399" s="58" t="s">
        <v>894</v>
      </c>
      <c r="D399" s="59" t="s">
        <v>151</v>
      </c>
      <c r="E399" s="57" t="s">
        <v>895</v>
      </c>
      <c r="F399" s="54" t="s">
        <v>151</v>
      </c>
      <c r="G399" s="54" t="s">
        <v>410</v>
      </c>
      <c r="H399" s="54">
        <v>5</v>
      </c>
      <c r="I399" s="54">
        <v>0</v>
      </c>
      <c r="J399" s="54">
        <v>0</v>
      </c>
      <c r="K399" s="54">
        <v>14</v>
      </c>
      <c r="L399" s="23"/>
      <c r="N399" t="s">
        <v>161</v>
      </c>
    </row>
    <row r="400" spans="2:14" x14ac:dyDescent="0.25">
      <c r="B400" t="s">
        <v>161</v>
      </c>
      <c r="C400" s="58" t="s">
        <v>896</v>
      </c>
      <c r="D400" s="59" t="s">
        <v>151</v>
      </c>
      <c r="E400" s="57" t="s">
        <v>897</v>
      </c>
      <c r="F400" s="54" t="s">
        <v>151</v>
      </c>
      <c r="G400" s="54" t="s">
        <v>410</v>
      </c>
      <c r="H400" s="54">
        <v>5</v>
      </c>
      <c r="I400" s="54">
        <v>0</v>
      </c>
      <c r="J400" s="54">
        <v>0</v>
      </c>
      <c r="K400" s="54">
        <v>14</v>
      </c>
      <c r="L400" s="23"/>
      <c r="N400" t="s">
        <v>161</v>
      </c>
    </row>
    <row r="401" spans="2:14" x14ac:dyDescent="0.25">
      <c r="B401" t="s">
        <v>161</v>
      </c>
      <c r="C401" s="58" t="s">
        <v>898</v>
      </c>
      <c r="D401" s="59" t="s">
        <v>151</v>
      </c>
      <c r="E401" s="57" t="s">
        <v>899</v>
      </c>
      <c r="F401" s="54" t="s">
        <v>151</v>
      </c>
      <c r="G401" s="54" t="s">
        <v>410</v>
      </c>
      <c r="H401" s="54">
        <v>5</v>
      </c>
      <c r="I401" s="54">
        <v>0</v>
      </c>
      <c r="J401" s="54">
        <v>12.1</v>
      </c>
      <c r="K401" s="54">
        <v>14</v>
      </c>
      <c r="L401" s="23"/>
      <c r="N401" t="s">
        <v>161</v>
      </c>
    </row>
    <row r="402" spans="2:14" x14ac:dyDescent="0.25">
      <c r="B402" t="s">
        <v>161</v>
      </c>
      <c r="C402" s="58" t="s">
        <v>900</v>
      </c>
      <c r="D402" s="59" t="s">
        <v>151</v>
      </c>
      <c r="E402" s="57" t="s">
        <v>901</v>
      </c>
      <c r="F402" s="54" t="s">
        <v>151</v>
      </c>
      <c r="G402" s="54" t="s">
        <v>410</v>
      </c>
      <c r="H402" s="54">
        <v>5</v>
      </c>
      <c r="I402" s="54">
        <v>0</v>
      </c>
      <c r="J402" s="54">
        <v>17.600000000000001</v>
      </c>
      <c r="K402" s="54">
        <v>14</v>
      </c>
      <c r="L402" s="23"/>
      <c r="N402" t="s">
        <v>161</v>
      </c>
    </row>
    <row r="403" spans="2:14" x14ac:dyDescent="0.25">
      <c r="B403" t="s">
        <v>161</v>
      </c>
      <c r="C403" s="58" t="s">
        <v>902</v>
      </c>
      <c r="D403" s="59" t="s">
        <v>151</v>
      </c>
      <c r="E403" s="57" t="s">
        <v>903</v>
      </c>
      <c r="F403" s="54" t="s">
        <v>151</v>
      </c>
      <c r="G403" s="54" t="s">
        <v>410</v>
      </c>
      <c r="H403" s="54">
        <v>5</v>
      </c>
      <c r="I403" s="54">
        <v>0</v>
      </c>
      <c r="J403" s="54">
        <v>0</v>
      </c>
      <c r="K403" s="54">
        <v>14</v>
      </c>
      <c r="L403" s="23"/>
      <c r="N403" t="s">
        <v>161</v>
      </c>
    </row>
    <row r="404" spans="2:14" x14ac:dyDescent="0.25">
      <c r="B404" t="s">
        <v>161</v>
      </c>
      <c r="C404" s="58" t="s">
        <v>904</v>
      </c>
      <c r="D404" s="59" t="s">
        <v>151</v>
      </c>
      <c r="E404" s="57" t="s">
        <v>905</v>
      </c>
      <c r="F404" s="54" t="s">
        <v>151</v>
      </c>
      <c r="G404" s="54" t="s">
        <v>410</v>
      </c>
      <c r="H404" s="54">
        <v>5</v>
      </c>
      <c r="I404" s="54">
        <v>0</v>
      </c>
      <c r="J404" s="54">
        <v>0</v>
      </c>
      <c r="K404" s="54">
        <v>14</v>
      </c>
      <c r="L404" s="23"/>
      <c r="N404" t="s">
        <v>161</v>
      </c>
    </row>
    <row r="405" spans="2:14" x14ac:dyDescent="0.25">
      <c r="B405" t="s">
        <v>161</v>
      </c>
      <c r="C405" s="58" t="s">
        <v>906</v>
      </c>
      <c r="D405" s="59" t="s">
        <v>151</v>
      </c>
      <c r="E405" s="57" t="s">
        <v>907</v>
      </c>
      <c r="F405" s="54" t="s">
        <v>151</v>
      </c>
      <c r="G405" s="54" t="s">
        <v>410</v>
      </c>
      <c r="H405" s="54">
        <v>5</v>
      </c>
      <c r="I405" s="54">
        <v>0</v>
      </c>
      <c r="J405" s="54">
        <v>0</v>
      </c>
      <c r="K405" s="54">
        <v>14</v>
      </c>
      <c r="L405" s="23"/>
      <c r="N405" t="s">
        <v>161</v>
      </c>
    </row>
    <row r="406" spans="2:14" x14ac:dyDescent="0.25">
      <c r="B406" t="s">
        <v>161</v>
      </c>
      <c r="C406" s="58" t="s">
        <v>908</v>
      </c>
      <c r="D406" s="59" t="s">
        <v>151</v>
      </c>
      <c r="E406" s="57" t="s">
        <v>909</v>
      </c>
      <c r="F406" s="54" t="s">
        <v>151</v>
      </c>
      <c r="G406" s="54" t="s">
        <v>410</v>
      </c>
      <c r="H406" s="54">
        <v>5</v>
      </c>
      <c r="I406" s="54">
        <v>0</v>
      </c>
      <c r="J406" s="54">
        <v>0</v>
      </c>
      <c r="K406" s="54">
        <v>14</v>
      </c>
      <c r="L406" s="23"/>
      <c r="N406" t="s">
        <v>161</v>
      </c>
    </row>
    <row r="407" spans="2:14" x14ac:dyDescent="0.25">
      <c r="B407" t="s">
        <v>161</v>
      </c>
      <c r="C407" s="58" t="s">
        <v>910</v>
      </c>
      <c r="D407" s="59" t="s">
        <v>151</v>
      </c>
      <c r="E407" s="57" t="s">
        <v>911</v>
      </c>
      <c r="F407" s="54" t="s">
        <v>151</v>
      </c>
      <c r="G407" s="54" t="s">
        <v>410</v>
      </c>
      <c r="H407" s="54">
        <v>5</v>
      </c>
      <c r="I407" s="54">
        <v>0</v>
      </c>
      <c r="J407" s="54">
        <v>0</v>
      </c>
      <c r="K407" s="54">
        <v>14</v>
      </c>
      <c r="L407" s="23"/>
      <c r="N407" t="s">
        <v>161</v>
      </c>
    </row>
    <row r="408" spans="2:14" x14ac:dyDescent="0.25">
      <c r="B408" t="s">
        <v>161</v>
      </c>
      <c r="C408" s="58" t="s">
        <v>912</v>
      </c>
      <c r="D408" s="59" t="s">
        <v>151</v>
      </c>
      <c r="E408" s="57" t="s">
        <v>913</v>
      </c>
      <c r="F408" s="54" t="s">
        <v>151</v>
      </c>
      <c r="G408" s="54" t="s">
        <v>410</v>
      </c>
      <c r="H408" s="54">
        <v>5</v>
      </c>
      <c r="I408" s="54">
        <v>0</v>
      </c>
      <c r="J408" s="54">
        <v>0</v>
      </c>
      <c r="K408" s="54">
        <v>14</v>
      </c>
      <c r="L408" s="23"/>
      <c r="N408" t="s">
        <v>161</v>
      </c>
    </row>
    <row r="409" spans="2:14" x14ac:dyDescent="0.25">
      <c r="B409" t="s">
        <v>161</v>
      </c>
      <c r="C409" s="58" t="s">
        <v>914</v>
      </c>
      <c r="D409" s="59" t="s">
        <v>151</v>
      </c>
      <c r="E409" s="57" t="s">
        <v>915</v>
      </c>
      <c r="F409" s="54" t="s">
        <v>151</v>
      </c>
      <c r="G409" s="54" t="s">
        <v>410</v>
      </c>
      <c r="H409" s="54">
        <v>5</v>
      </c>
      <c r="I409" s="54">
        <v>0</v>
      </c>
      <c r="J409" s="54">
        <v>0</v>
      </c>
      <c r="K409" s="54">
        <v>14</v>
      </c>
      <c r="L409" s="23"/>
      <c r="N409" t="s">
        <v>161</v>
      </c>
    </row>
    <row r="410" spans="2:14" x14ac:dyDescent="0.25">
      <c r="B410" t="s">
        <v>161</v>
      </c>
      <c r="C410" s="58" t="s">
        <v>916</v>
      </c>
      <c r="D410" s="59" t="s">
        <v>151</v>
      </c>
      <c r="E410" s="57" t="s">
        <v>917</v>
      </c>
      <c r="F410" s="54" t="s">
        <v>151</v>
      </c>
      <c r="G410" s="54" t="s">
        <v>410</v>
      </c>
      <c r="H410" s="54">
        <v>5</v>
      </c>
      <c r="I410" s="54">
        <v>0</v>
      </c>
      <c r="J410" s="54">
        <v>0</v>
      </c>
      <c r="K410" s="54">
        <v>14</v>
      </c>
      <c r="L410" s="23"/>
      <c r="N410" t="s">
        <v>161</v>
      </c>
    </row>
    <row r="411" spans="2:14" x14ac:dyDescent="0.25">
      <c r="B411" t="s">
        <v>161</v>
      </c>
      <c r="C411" s="58" t="s">
        <v>918</v>
      </c>
      <c r="D411" s="59" t="s">
        <v>151</v>
      </c>
      <c r="E411" s="57" t="s">
        <v>919</v>
      </c>
      <c r="F411" s="54" t="s">
        <v>151</v>
      </c>
      <c r="G411" s="54" t="s">
        <v>410</v>
      </c>
      <c r="H411" s="54">
        <v>5</v>
      </c>
      <c r="I411" s="54">
        <v>0</v>
      </c>
      <c r="J411" s="54">
        <v>0</v>
      </c>
      <c r="K411" s="54">
        <v>14</v>
      </c>
      <c r="L411" s="23"/>
      <c r="N411" t="s">
        <v>161</v>
      </c>
    </row>
    <row r="412" spans="2:14" x14ac:dyDescent="0.25">
      <c r="B412" t="s">
        <v>161</v>
      </c>
      <c r="C412" s="58" t="s">
        <v>920</v>
      </c>
      <c r="D412" s="59" t="s">
        <v>151</v>
      </c>
      <c r="E412" s="57" t="s">
        <v>921</v>
      </c>
      <c r="F412" s="54" t="s">
        <v>151</v>
      </c>
      <c r="G412" s="54" t="s">
        <v>410</v>
      </c>
      <c r="H412" s="54">
        <v>5</v>
      </c>
      <c r="I412" s="54">
        <v>0</v>
      </c>
      <c r="J412" s="54">
        <v>0</v>
      </c>
      <c r="K412" s="54">
        <v>14</v>
      </c>
      <c r="L412" s="23"/>
      <c r="N412" t="s">
        <v>161</v>
      </c>
    </row>
    <row r="413" spans="2:14" x14ac:dyDescent="0.25">
      <c r="B413" t="s">
        <v>161</v>
      </c>
      <c r="C413" s="58" t="s">
        <v>922</v>
      </c>
      <c r="D413" s="59" t="s">
        <v>151</v>
      </c>
      <c r="E413" s="57" t="s">
        <v>923</v>
      </c>
      <c r="F413" s="54" t="s">
        <v>151</v>
      </c>
      <c r="G413" s="54" t="s">
        <v>410</v>
      </c>
      <c r="H413" s="54">
        <v>5</v>
      </c>
      <c r="I413" s="54">
        <v>0</v>
      </c>
      <c r="J413" s="54">
        <v>0</v>
      </c>
      <c r="K413" s="54">
        <v>14</v>
      </c>
      <c r="L413" s="23"/>
      <c r="N413" t="s">
        <v>161</v>
      </c>
    </row>
    <row r="414" spans="2:14" x14ac:dyDescent="0.25">
      <c r="B414" t="s">
        <v>161</v>
      </c>
      <c r="C414" s="58" t="s">
        <v>924</v>
      </c>
      <c r="D414" s="59" t="s">
        <v>151</v>
      </c>
      <c r="E414" s="57" t="s">
        <v>925</v>
      </c>
      <c r="F414" s="54" t="s">
        <v>151</v>
      </c>
      <c r="G414" s="54" t="s">
        <v>410</v>
      </c>
      <c r="H414" s="54">
        <v>5</v>
      </c>
      <c r="I414" s="54">
        <v>0</v>
      </c>
      <c r="J414" s="54">
        <v>0</v>
      </c>
      <c r="K414" s="54">
        <v>14</v>
      </c>
      <c r="L414" s="23"/>
      <c r="N414" t="s">
        <v>161</v>
      </c>
    </row>
    <row r="415" spans="2:14" x14ac:dyDescent="0.25">
      <c r="B415" t="s">
        <v>161</v>
      </c>
      <c r="C415" s="58" t="s">
        <v>926</v>
      </c>
      <c r="D415" s="59" t="s">
        <v>151</v>
      </c>
      <c r="E415" s="57" t="s">
        <v>595</v>
      </c>
      <c r="F415" s="54" t="s">
        <v>151</v>
      </c>
      <c r="G415" s="54" t="s">
        <v>410</v>
      </c>
      <c r="H415" s="54">
        <v>5</v>
      </c>
      <c r="I415" s="54">
        <v>0</v>
      </c>
      <c r="J415" s="54">
        <v>0</v>
      </c>
      <c r="K415" s="54">
        <v>14</v>
      </c>
      <c r="L415" s="23"/>
      <c r="N415" t="s">
        <v>161</v>
      </c>
    </row>
    <row r="416" spans="2:14" x14ac:dyDescent="0.25">
      <c r="B416" t="s">
        <v>161</v>
      </c>
      <c r="C416" s="58" t="s">
        <v>927</v>
      </c>
      <c r="D416" s="59" t="s">
        <v>151</v>
      </c>
      <c r="E416" s="57" t="s">
        <v>928</v>
      </c>
      <c r="F416" s="54" t="s">
        <v>151</v>
      </c>
      <c r="G416" s="54" t="s">
        <v>410</v>
      </c>
      <c r="H416" s="54">
        <v>5</v>
      </c>
      <c r="I416" s="54">
        <v>0</v>
      </c>
      <c r="J416" s="54">
        <v>0</v>
      </c>
      <c r="K416" s="54">
        <v>14</v>
      </c>
      <c r="L416" s="23"/>
      <c r="N416" t="s">
        <v>161</v>
      </c>
    </row>
    <row r="417" spans="2:14" x14ac:dyDescent="0.25">
      <c r="B417" t="s">
        <v>161</v>
      </c>
      <c r="C417" s="58" t="s">
        <v>929</v>
      </c>
      <c r="D417" s="59" t="s">
        <v>151</v>
      </c>
      <c r="E417" s="57" t="s">
        <v>930</v>
      </c>
      <c r="F417" s="54" t="s">
        <v>151</v>
      </c>
      <c r="G417" s="54" t="s">
        <v>410</v>
      </c>
      <c r="H417" s="54">
        <v>5</v>
      </c>
      <c r="I417" s="54">
        <v>0</v>
      </c>
      <c r="J417" s="54">
        <v>14.8</v>
      </c>
      <c r="K417" s="54">
        <v>14</v>
      </c>
      <c r="L417" s="23"/>
      <c r="N417" t="s">
        <v>161</v>
      </c>
    </row>
    <row r="418" spans="2:14" x14ac:dyDescent="0.25">
      <c r="B418" t="s">
        <v>161</v>
      </c>
      <c r="C418" s="58" t="s">
        <v>931</v>
      </c>
      <c r="D418" s="59" t="s">
        <v>151</v>
      </c>
      <c r="E418" s="57" t="s">
        <v>932</v>
      </c>
      <c r="F418" s="54" t="s">
        <v>151</v>
      </c>
      <c r="G418" s="54" t="s">
        <v>410</v>
      </c>
      <c r="H418" s="54">
        <v>5</v>
      </c>
      <c r="I418" s="54">
        <v>0</v>
      </c>
      <c r="J418" s="54">
        <v>13.3</v>
      </c>
      <c r="K418" s="54">
        <v>14</v>
      </c>
      <c r="L418" s="23"/>
      <c r="N418" t="s">
        <v>161</v>
      </c>
    </row>
    <row r="419" spans="2:14" x14ac:dyDescent="0.25">
      <c r="B419" t="s">
        <v>161</v>
      </c>
      <c r="C419" s="58" t="s">
        <v>933</v>
      </c>
      <c r="D419" s="59" t="s">
        <v>151</v>
      </c>
      <c r="E419" s="57" t="s">
        <v>934</v>
      </c>
      <c r="F419" s="54" t="s">
        <v>151</v>
      </c>
      <c r="G419" s="54" t="s">
        <v>410</v>
      </c>
      <c r="H419" s="54">
        <v>5</v>
      </c>
      <c r="I419" s="54">
        <v>0</v>
      </c>
      <c r="J419" s="54">
        <v>0</v>
      </c>
      <c r="K419" s="54">
        <v>14</v>
      </c>
      <c r="L419" s="23"/>
      <c r="N419" t="s">
        <v>161</v>
      </c>
    </row>
    <row r="420" spans="2:14" x14ac:dyDescent="0.25">
      <c r="B420" t="s">
        <v>161</v>
      </c>
      <c r="C420" s="58" t="s">
        <v>935</v>
      </c>
      <c r="D420" s="59" t="s">
        <v>151</v>
      </c>
      <c r="E420" s="57" t="s">
        <v>936</v>
      </c>
      <c r="F420" s="54" t="s">
        <v>151</v>
      </c>
      <c r="G420" s="54" t="s">
        <v>410</v>
      </c>
      <c r="H420" s="54">
        <v>5</v>
      </c>
      <c r="I420" s="54">
        <v>0</v>
      </c>
      <c r="J420" s="54">
        <v>0</v>
      </c>
      <c r="K420" s="54">
        <v>14</v>
      </c>
      <c r="L420" s="23"/>
      <c r="N420" t="s">
        <v>161</v>
      </c>
    </row>
    <row r="421" spans="2:14" x14ac:dyDescent="0.25">
      <c r="B421" t="s">
        <v>161</v>
      </c>
      <c r="C421" s="58" t="s">
        <v>937</v>
      </c>
      <c r="D421" s="59" t="s">
        <v>151</v>
      </c>
      <c r="E421" s="57" t="s">
        <v>938</v>
      </c>
      <c r="F421" s="54" t="s">
        <v>151</v>
      </c>
      <c r="G421" s="54" t="s">
        <v>410</v>
      </c>
      <c r="H421" s="54">
        <v>5</v>
      </c>
      <c r="I421" s="54">
        <v>0</v>
      </c>
      <c r="J421" s="54">
        <v>11.5</v>
      </c>
      <c r="K421" s="54">
        <v>14</v>
      </c>
      <c r="L421" s="23"/>
      <c r="N421" t="s">
        <v>161</v>
      </c>
    </row>
    <row r="422" spans="2:14" x14ac:dyDescent="0.25">
      <c r="B422" t="s">
        <v>161</v>
      </c>
      <c r="C422" s="58" t="s">
        <v>939</v>
      </c>
      <c r="D422" s="59" t="s">
        <v>151</v>
      </c>
      <c r="E422" s="57" t="s">
        <v>940</v>
      </c>
      <c r="F422" s="54" t="s">
        <v>151</v>
      </c>
      <c r="G422" s="54" t="s">
        <v>410</v>
      </c>
      <c r="H422" s="54">
        <v>5</v>
      </c>
      <c r="I422" s="54">
        <v>0</v>
      </c>
      <c r="J422" s="54">
        <v>15.1</v>
      </c>
      <c r="K422" s="54">
        <v>14</v>
      </c>
      <c r="L422" s="23"/>
      <c r="N422" t="s">
        <v>161</v>
      </c>
    </row>
    <row r="423" spans="2:14" x14ac:dyDescent="0.25">
      <c r="B423" t="s">
        <v>161</v>
      </c>
      <c r="C423" s="58" t="s">
        <v>941</v>
      </c>
      <c r="D423" s="59" t="s">
        <v>151</v>
      </c>
      <c r="E423" s="57" t="s">
        <v>942</v>
      </c>
      <c r="F423" s="54" t="s">
        <v>151</v>
      </c>
      <c r="G423" s="54" t="s">
        <v>410</v>
      </c>
      <c r="H423" s="54">
        <v>5</v>
      </c>
      <c r="I423" s="54">
        <v>0</v>
      </c>
      <c r="J423" s="54">
        <v>0</v>
      </c>
      <c r="K423" s="54">
        <v>14</v>
      </c>
      <c r="L423" s="23"/>
      <c r="N423" t="s">
        <v>161</v>
      </c>
    </row>
    <row r="424" spans="2:14" x14ac:dyDescent="0.25">
      <c r="B424" t="s">
        <v>161</v>
      </c>
      <c r="C424" s="58" t="s">
        <v>943</v>
      </c>
      <c r="D424" s="59" t="s">
        <v>151</v>
      </c>
      <c r="E424" s="57" t="s">
        <v>944</v>
      </c>
      <c r="F424" s="54" t="s">
        <v>151</v>
      </c>
      <c r="G424" s="54" t="s">
        <v>410</v>
      </c>
      <c r="H424" s="54">
        <v>5</v>
      </c>
      <c r="I424" s="54">
        <v>0</v>
      </c>
      <c r="J424" s="54">
        <v>0</v>
      </c>
      <c r="K424" s="54">
        <v>14</v>
      </c>
      <c r="L424" s="23"/>
      <c r="N424" t="s">
        <v>161</v>
      </c>
    </row>
    <row r="425" spans="2:14" x14ac:dyDescent="0.25">
      <c r="B425" t="s">
        <v>161</v>
      </c>
      <c r="C425" s="58" t="s">
        <v>945</v>
      </c>
      <c r="D425" s="59" t="s">
        <v>151</v>
      </c>
      <c r="E425" s="57" t="s">
        <v>946</v>
      </c>
      <c r="F425" s="54" t="s">
        <v>151</v>
      </c>
      <c r="G425" s="54" t="s">
        <v>410</v>
      </c>
      <c r="H425" s="54">
        <v>5</v>
      </c>
      <c r="I425" s="54">
        <v>0</v>
      </c>
      <c r="J425" s="54">
        <v>0</v>
      </c>
      <c r="K425" s="54">
        <v>14</v>
      </c>
      <c r="L425" s="23"/>
      <c r="N425" t="s">
        <v>161</v>
      </c>
    </row>
    <row r="426" spans="2:14" x14ac:dyDescent="0.25">
      <c r="B426" t="s">
        <v>161</v>
      </c>
      <c r="C426" s="58" t="s">
        <v>947</v>
      </c>
      <c r="D426" s="59" t="s">
        <v>151</v>
      </c>
      <c r="E426" s="57" t="s">
        <v>948</v>
      </c>
      <c r="F426" s="54" t="s">
        <v>151</v>
      </c>
      <c r="G426" s="54" t="s">
        <v>410</v>
      </c>
      <c r="H426" s="54">
        <v>5</v>
      </c>
      <c r="I426" s="54">
        <v>0</v>
      </c>
      <c r="J426" s="54">
        <v>0</v>
      </c>
      <c r="K426" s="54">
        <v>14</v>
      </c>
      <c r="L426" s="23"/>
      <c r="N426" t="s">
        <v>161</v>
      </c>
    </row>
    <row r="427" spans="2:14" x14ac:dyDescent="0.25">
      <c r="B427" t="s">
        <v>161</v>
      </c>
      <c r="C427" s="58" t="s">
        <v>949</v>
      </c>
      <c r="D427" s="59" t="s">
        <v>151</v>
      </c>
      <c r="E427" s="57" t="s">
        <v>950</v>
      </c>
      <c r="F427" s="54" t="s">
        <v>151</v>
      </c>
      <c r="G427" s="54" t="s">
        <v>410</v>
      </c>
      <c r="H427" s="54">
        <v>5</v>
      </c>
      <c r="I427" s="54">
        <v>0</v>
      </c>
      <c r="J427" s="54">
        <v>10.9</v>
      </c>
      <c r="K427" s="54">
        <v>14</v>
      </c>
      <c r="L427" s="23"/>
      <c r="N427" t="s">
        <v>161</v>
      </c>
    </row>
    <row r="428" spans="2:14" x14ac:dyDescent="0.25">
      <c r="B428" t="s">
        <v>161</v>
      </c>
      <c r="C428" s="58" t="s">
        <v>951</v>
      </c>
      <c r="D428" s="59" t="s">
        <v>151</v>
      </c>
      <c r="E428" s="57" t="s">
        <v>952</v>
      </c>
      <c r="F428" s="54" t="s">
        <v>151</v>
      </c>
      <c r="G428" s="54" t="s">
        <v>410</v>
      </c>
      <c r="H428" s="54">
        <v>5</v>
      </c>
      <c r="I428" s="54">
        <v>0</v>
      </c>
      <c r="J428" s="54">
        <v>13.7</v>
      </c>
      <c r="K428" s="54">
        <v>14</v>
      </c>
      <c r="L428" s="23"/>
      <c r="N428" t="s">
        <v>161</v>
      </c>
    </row>
    <row r="429" spans="2:14" x14ac:dyDescent="0.25">
      <c r="B429" t="s">
        <v>161</v>
      </c>
      <c r="C429" s="58" t="s">
        <v>953</v>
      </c>
      <c r="D429" s="59" t="s">
        <v>151</v>
      </c>
      <c r="E429" s="57" t="s">
        <v>954</v>
      </c>
      <c r="F429" s="54" t="s">
        <v>151</v>
      </c>
      <c r="G429" s="54" t="s">
        <v>410</v>
      </c>
      <c r="H429" s="54">
        <v>5</v>
      </c>
      <c r="I429" s="54">
        <v>0</v>
      </c>
      <c r="J429" s="54">
        <v>16.899999999999999</v>
      </c>
      <c r="K429" s="54">
        <v>14</v>
      </c>
      <c r="L429" s="23"/>
      <c r="N429" t="s">
        <v>161</v>
      </c>
    </row>
    <row r="430" spans="2:14" x14ac:dyDescent="0.25">
      <c r="B430" t="s">
        <v>161</v>
      </c>
      <c r="C430" s="58" t="s">
        <v>955</v>
      </c>
      <c r="D430" s="59" t="s">
        <v>151</v>
      </c>
      <c r="E430" s="57" t="s">
        <v>956</v>
      </c>
      <c r="F430" s="54" t="s">
        <v>151</v>
      </c>
      <c r="G430" s="54" t="s">
        <v>410</v>
      </c>
      <c r="H430" s="54">
        <v>5</v>
      </c>
      <c r="I430" s="54">
        <v>0</v>
      </c>
      <c r="J430" s="54">
        <v>24.3</v>
      </c>
      <c r="K430" s="54">
        <v>14</v>
      </c>
      <c r="L430" s="23"/>
      <c r="N430" t="s">
        <v>161</v>
      </c>
    </row>
    <row r="431" spans="2:14" x14ac:dyDescent="0.25">
      <c r="B431" t="s">
        <v>161</v>
      </c>
      <c r="C431" s="58" t="s">
        <v>957</v>
      </c>
      <c r="D431" s="59" t="s">
        <v>151</v>
      </c>
      <c r="E431" s="57" t="s">
        <v>958</v>
      </c>
      <c r="F431" s="54" t="s">
        <v>151</v>
      </c>
      <c r="G431" s="54" t="s">
        <v>410</v>
      </c>
      <c r="H431" s="54">
        <v>5</v>
      </c>
      <c r="I431" s="54">
        <v>0</v>
      </c>
      <c r="J431" s="54">
        <v>0</v>
      </c>
      <c r="K431" s="54">
        <v>14</v>
      </c>
      <c r="L431" s="23"/>
      <c r="N431" t="s">
        <v>161</v>
      </c>
    </row>
    <row r="432" spans="2:14" x14ac:dyDescent="0.25">
      <c r="B432" t="s">
        <v>161</v>
      </c>
      <c r="C432" s="58" t="s">
        <v>959</v>
      </c>
      <c r="D432" s="59" t="s">
        <v>151</v>
      </c>
      <c r="E432" s="57" t="s">
        <v>960</v>
      </c>
      <c r="F432" s="54" t="s">
        <v>151</v>
      </c>
      <c r="G432" s="54" t="s">
        <v>410</v>
      </c>
      <c r="H432" s="54">
        <v>5</v>
      </c>
      <c r="I432" s="54">
        <v>0</v>
      </c>
      <c r="J432" s="54">
        <v>0</v>
      </c>
      <c r="K432" s="54">
        <v>14</v>
      </c>
      <c r="L432" s="23"/>
      <c r="N432" t="s">
        <v>161</v>
      </c>
    </row>
    <row r="433" spans="2:14" x14ac:dyDescent="0.25">
      <c r="B433" t="s">
        <v>161</v>
      </c>
      <c r="C433" s="58" t="s">
        <v>961</v>
      </c>
      <c r="D433" s="59" t="s">
        <v>151</v>
      </c>
      <c r="E433" s="57" t="s">
        <v>962</v>
      </c>
      <c r="F433" s="54" t="s">
        <v>151</v>
      </c>
      <c r="G433" s="54" t="s">
        <v>410</v>
      </c>
      <c r="H433" s="54">
        <v>5</v>
      </c>
      <c r="I433" s="54">
        <v>0</v>
      </c>
      <c r="J433" s="54">
        <v>19.2</v>
      </c>
      <c r="K433" s="54">
        <v>14</v>
      </c>
      <c r="L433" s="23"/>
      <c r="N433" t="s">
        <v>161</v>
      </c>
    </row>
    <row r="434" spans="2:14" x14ac:dyDescent="0.25">
      <c r="B434" t="s">
        <v>161</v>
      </c>
      <c r="C434" s="58" t="s">
        <v>963</v>
      </c>
      <c r="D434" s="59" t="s">
        <v>151</v>
      </c>
      <c r="E434" s="57" t="s">
        <v>964</v>
      </c>
      <c r="F434" s="54" t="s">
        <v>151</v>
      </c>
      <c r="G434" s="54" t="s">
        <v>410</v>
      </c>
      <c r="H434" s="54">
        <v>5</v>
      </c>
      <c r="I434" s="54">
        <v>0</v>
      </c>
      <c r="J434" s="54">
        <v>18.399999999999999</v>
      </c>
      <c r="K434" s="54">
        <v>14</v>
      </c>
      <c r="L434" s="23"/>
      <c r="N434" t="s">
        <v>161</v>
      </c>
    </row>
    <row r="435" spans="2:14" x14ac:dyDescent="0.25">
      <c r="B435" t="s">
        <v>161</v>
      </c>
      <c r="C435" s="58" t="s">
        <v>965</v>
      </c>
      <c r="D435" s="59" t="s">
        <v>151</v>
      </c>
      <c r="E435" s="57" t="s">
        <v>966</v>
      </c>
      <c r="F435" s="54" t="s">
        <v>151</v>
      </c>
      <c r="G435" s="54" t="s">
        <v>410</v>
      </c>
      <c r="H435" s="54">
        <v>5</v>
      </c>
      <c r="I435" s="54">
        <v>0</v>
      </c>
      <c r="J435" s="54">
        <v>0</v>
      </c>
      <c r="K435" s="54">
        <v>14</v>
      </c>
      <c r="L435" s="23"/>
      <c r="N435" t="s">
        <v>161</v>
      </c>
    </row>
    <row r="436" spans="2:14" x14ac:dyDescent="0.25">
      <c r="B436" t="s">
        <v>161</v>
      </c>
      <c r="C436" s="58" t="s">
        <v>967</v>
      </c>
      <c r="D436" s="59" t="s">
        <v>151</v>
      </c>
      <c r="E436" s="57" t="s">
        <v>968</v>
      </c>
      <c r="F436" s="54" t="s">
        <v>151</v>
      </c>
      <c r="G436" s="54" t="s">
        <v>410</v>
      </c>
      <c r="H436" s="54">
        <v>5</v>
      </c>
      <c r="I436" s="54">
        <v>0</v>
      </c>
      <c r="J436" s="54">
        <v>0</v>
      </c>
      <c r="K436" s="54">
        <v>14</v>
      </c>
      <c r="L436" s="23"/>
      <c r="N436" t="s">
        <v>161</v>
      </c>
    </row>
    <row r="437" spans="2:14" x14ac:dyDescent="0.25">
      <c r="B437" t="s">
        <v>1556</v>
      </c>
      <c r="C437" s="58" t="s">
        <v>969</v>
      </c>
      <c r="D437" s="59" t="s">
        <v>152</v>
      </c>
      <c r="E437" s="57" t="s">
        <v>970</v>
      </c>
      <c r="F437" s="54" t="s">
        <v>151</v>
      </c>
      <c r="G437" s="54" t="s">
        <v>410</v>
      </c>
      <c r="H437" s="54">
        <v>5</v>
      </c>
      <c r="I437" s="54">
        <v>0</v>
      </c>
      <c r="J437" s="54">
        <v>12.4</v>
      </c>
      <c r="K437" s="54">
        <v>14</v>
      </c>
      <c r="L437" s="23"/>
      <c r="N437" t="s">
        <v>161</v>
      </c>
    </row>
    <row r="438" spans="2:14" x14ac:dyDescent="0.25">
      <c r="B438" t="s">
        <v>1556</v>
      </c>
      <c r="C438" s="58" t="s">
        <v>971</v>
      </c>
      <c r="D438" s="59" t="s">
        <v>152</v>
      </c>
      <c r="E438" s="57" t="s">
        <v>972</v>
      </c>
      <c r="F438" s="54" t="s">
        <v>151</v>
      </c>
      <c r="G438" s="54" t="s">
        <v>410</v>
      </c>
      <c r="H438" s="54">
        <v>5</v>
      </c>
      <c r="I438" s="54">
        <v>0</v>
      </c>
      <c r="J438" s="54">
        <v>15.6</v>
      </c>
      <c r="K438" s="54">
        <v>14</v>
      </c>
      <c r="L438" s="23"/>
      <c r="N438" t="s">
        <v>161</v>
      </c>
    </row>
    <row r="439" spans="2:14" x14ac:dyDescent="0.25">
      <c r="B439" t="s">
        <v>161</v>
      </c>
      <c r="C439" s="58" t="s">
        <v>973</v>
      </c>
      <c r="D439" s="59" t="s">
        <v>151</v>
      </c>
      <c r="E439" s="57" t="s">
        <v>974</v>
      </c>
      <c r="F439" s="54" t="s">
        <v>151</v>
      </c>
      <c r="G439" s="54" t="s">
        <v>410</v>
      </c>
      <c r="H439" s="54">
        <v>5</v>
      </c>
      <c r="I439" s="54">
        <v>0</v>
      </c>
      <c r="J439" s="54">
        <v>6.8</v>
      </c>
      <c r="K439" s="54">
        <v>14</v>
      </c>
      <c r="L439" s="23"/>
      <c r="N439" t="s">
        <v>161</v>
      </c>
    </row>
    <row r="440" spans="2:14" x14ac:dyDescent="0.25">
      <c r="B440" t="s">
        <v>161</v>
      </c>
      <c r="C440" s="58" t="s">
        <v>975</v>
      </c>
      <c r="D440" s="59" t="s">
        <v>151</v>
      </c>
      <c r="E440" s="57" t="s">
        <v>976</v>
      </c>
      <c r="F440" s="54" t="s">
        <v>151</v>
      </c>
      <c r="G440" s="54" t="s">
        <v>410</v>
      </c>
      <c r="H440" s="54">
        <v>5</v>
      </c>
      <c r="I440" s="54">
        <v>0</v>
      </c>
      <c r="J440" s="54">
        <v>13.1</v>
      </c>
      <c r="K440" s="54">
        <v>14</v>
      </c>
      <c r="L440" s="23"/>
      <c r="N440" t="s">
        <v>161</v>
      </c>
    </row>
    <row r="441" spans="2:14" x14ac:dyDescent="0.25">
      <c r="B441" t="s">
        <v>161</v>
      </c>
      <c r="C441" s="58" t="s">
        <v>977</v>
      </c>
      <c r="D441" s="59" t="s">
        <v>151</v>
      </c>
      <c r="E441" s="57" t="s">
        <v>978</v>
      </c>
      <c r="F441" s="54" t="s">
        <v>151</v>
      </c>
      <c r="G441" s="54" t="s">
        <v>410</v>
      </c>
      <c r="H441" s="54">
        <v>5</v>
      </c>
      <c r="I441" s="54">
        <v>0</v>
      </c>
      <c r="J441" s="54">
        <v>0</v>
      </c>
      <c r="K441" s="54">
        <v>14</v>
      </c>
      <c r="L441" s="23"/>
      <c r="N441" t="s">
        <v>161</v>
      </c>
    </row>
    <row r="442" spans="2:14" x14ac:dyDescent="0.25">
      <c r="B442" t="s">
        <v>161</v>
      </c>
      <c r="C442" s="58" t="s">
        <v>979</v>
      </c>
      <c r="D442" s="59" t="s">
        <v>151</v>
      </c>
      <c r="E442" s="57" t="s">
        <v>980</v>
      </c>
      <c r="F442" s="54" t="s">
        <v>151</v>
      </c>
      <c r="G442" s="54" t="s">
        <v>410</v>
      </c>
      <c r="H442" s="54">
        <v>5</v>
      </c>
      <c r="I442" s="54">
        <v>0</v>
      </c>
      <c r="J442" s="54">
        <v>0</v>
      </c>
      <c r="K442" s="54">
        <v>14</v>
      </c>
      <c r="L442" s="23"/>
      <c r="N442" t="s">
        <v>161</v>
      </c>
    </row>
    <row r="443" spans="2:14" x14ac:dyDescent="0.25">
      <c r="B443" t="s">
        <v>161</v>
      </c>
      <c r="C443" s="58" t="s">
        <v>981</v>
      </c>
      <c r="D443" s="59" t="s">
        <v>151</v>
      </c>
      <c r="E443" s="57" t="s">
        <v>982</v>
      </c>
      <c r="F443" s="54" t="s">
        <v>151</v>
      </c>
      <c r="G443" s="54" t="s">
        <v>410</v>
      </c>
      <c r="H443" s="54">
        <v>5</v>
      </c>
      <c r="I443" s="54">
        <v>0</v>
      </c>
      <c r="J443" s="54">
        <v>12.7</v>
      </c>
      <c r="K443" s="54">
        <v>14</v>
      </c>
      <c r="L443" s="23"/>
      <c r="N443" t="s">
        <v>161</v>
      </c>
    </row>
    <row r="444" spans="2:14" x14ac:dyDescent="0.25">
      <c r="B444" t="s">
        <v>161</v>
      </c>
      <c r="C444" s="58" t="s">
        <v>983</v>
      </c>
      <c r="D444" s="59" t="s">
        <v>151</v>
      </c>
      <c r="E444" s="57" t="s">
        <v>984</v>
      </c>
      <c r="F444" s="54" t="s">
        <v>151</v>
      </c>
      <c r="G444" s="54" t="s">
        <v>410</v>
      </c>
      <c r="H444" s="54">
        <v>5</v>
      </c>
      <c r="I444" s="54">
        <v>0</v>
      </c>
      <c r="J444" s="54">
        <v>19.100000000000001</v>
      </c>
      <c r="K444" s="54">
        <v>14</v>
      </c>
      <c r="L444" s="23"/>
      <c r="N444" t="s">
        <v>161</v>
      </c>
    </row>
    <row r="445" spans="2:14" x14ac:dyDescent="0.25">
      <c r="B445" t="s">
        <v>161</v>
      </c>
      <c r="C445" s="58" t="s">
        <v>985</v>
      </c>
      <c r="D445" s="59" t="s">
        <v>151</v>
      </c>
      <c r="E445" s="57" t="s">
        <v>986</v>
      </c>
      <c r="F445" s="54" t="s">
        <v>151</v>
      </c>
      <c r="G445" s="54" t="s">
        <v>410</v>
      </c>
      <c r="H445" s="54">
        <v>5</v>
      </c>
      <c r="I445" s="54">
        <v>0</v>
      </c>
      <c r="J445" s="54">
        <v>0</v>
      </c>
      <c r="K445" s="54">
        <v>14</v>
      </c>
      <c r="L445" s="23"/>
      <c r="N445" t="s">
        <v>161</v>
      </c>
    </row>
    <row r="446" spans="2:14" x14ac:dyDescent="0.25">
      <c r="B446" t="s">
        <v>161</v>
      </c>
      <c r="C446" s="58" t="s">
        <v>987</v>
      </c>
      <c r="D446" s="59" t="s">
        <v>151</v>
      </c>
      <c r="E446" s="57" t="s">
        <v>988</v>
      </c>
      <c r="F446" s="54" t="s">
        <v>151</v>
      </c>
      <c r="G446" s="54" t="s">
        <v>410</v>
      </c>
      <c r="H446" s="54">
        <v>5</v>
      </c>
      <c r="I446" s="54">
        <v>0</v>
      </c>
      <c r="J446" s="54">
        <v>0</v>
      </c>
      <c r="K446" s="54">
        <v>14</v>
      </c>
      <c r="L446" s="23"/>
      <c r="N446" t="s">
        <v>161</v>
      </c>
    </row>
    <row r="447" spans="2:14" x14ac:dyDescent="0.25">
      <c r="B447" t="s">
        <v>161</v>
      </c>
      <c r="C447" s="58" t="s">
        <v>989</v>
      </c>
      <c r="D447" s="59" t="s">
        <v>151</v>
      </c>
      <c r="E447" s="57" t="s">
        <v>990</v>
      </c>
      <c r="F447" s="54" t="s">
        <v>151</v>
      </c>
      <c r="G447" s="54" t="s">
        <v>410</v>
      </c>
      <c r="H447" s="54">
        <v>5</v>
      </c>
      <c r="I447" s="54">
        <v>0</v>
      </c>
      <c r="J447" s="54">
        <v>20.5</v>
      </c>
      <c r="K447" s="54">
        <v>14</v>
      </c>
      <c r="L447" s="23"/>
      <c r="N447" t="s">
        <v>161</v>
      </c>
    </row>
    <row r="448" spans="2:14" x14ac:dyDescent="0.25">
      <c r="B448" t="s">
        <v>161</v>
      </c>
      <c r="C448" s="58" t="s">
        <v>991</v>
      </c>
      <c r="D448" s="59" t="s">
        <v>151</v>
      </c>
      <c r="E448" s="57" t="s">
        <v>992</v>
      </c>
      <c r="F448" s="54" t="s">
        <v>151</v>
      </c>
      <c r="G448" s="54" t="s">
        <v>410</v>
      </c>
      <c r="H448" s="54">
        <v>5</v>
      </c>
      <c r="I448" s="54">
        <v>0</v>
      </c>
      <c r="J448" s="54">
        <v>22.5</v>
      </c>
      <c r="K448" s="54">
        <v>14</v>
      </c>
      <c r="L448" s="23"/>
      <c r="N448" t="s">
        <v>161</v>
      </c>
    </row>
    <row r="449" spans="2:14" x14ac:dyDescent="0.25">
      <c r="B449" t="s">
        <v>161</v>
      </c>
      <c r="C449" s="58" t="s">
        <v>993</v>
      </c>
      <c r="D449" s="59" t="s">
        <v>151</v>
      </c>
      <c r="E449" s="57" t="s">
        <v>994</v>
      </c>
      <c r="F449" s="54" t="s">
        <v>151</v>
      </c>
      <c r="G449" s="54" t="s">
        <v>410</v>
      </c>
      <c r="H449" s="54">
        <v>5</v>
      </c>
      <c r="I449" s="54">
        <v>0</v>
      </c>
      <c r="J449" s="54">
        <v>0</v>
      </c>
      <c r="K449" s="54">
        <v>14</v>
      </c>
      <c r="L449" s="23"/>
      <c r="N449" t="s">
        <v>161</v>
      </c>
    </row>
    <row r="450" spans="2:14" x14ac:dyDescent="0.25">
      <c r="B450" t="s">
        <v>161</v>
      </c>
      <c r="C450" s="58" t="s">
        <v>995</v>
      </c>
      <c r="D450" s="59" t="s">
        <v>151</v>
      </c>
      <c r="E450" s="57" t="s">
        <v>996</v>
      </c>
      <c r="F450" s="54" t="s">
        <v>151</v>
      </c>
      <c r="G450" s="54" t="s">
        <v>410</v>
      </c>
      <c r="H450" s="54">
        <v>5</v>
      </c>
      <c r="I450" s="54">
        <v>0</v>
      </c>
      <c r="J450" s="54">
        <v>0</v>
      </c>
      <c r="K450" s="54">
        <v>14</v>
      </c>
      <c r="L450" s="23"/>
      <c r="N450" t="s">
        <v>161</v>
      </c>
    </row>
    <row r="451" spans="2:14" x14ac:dyDescent="0.25">
      <c r="B451" t="s">
        <v>1556</v>
      </c>
      <c r="C451" s="58" t="s">
        <v>997</v>
      </c>
      <c r="D451" s="59" t="s">
        <v>152</v>
      </c>
      <c r="E451" s="57" t="s">
        <v>978</v>
      </c>
      <c r="F451" s="54" t="s">
        <v>151</v>
      </c>
      <c r="G451" s="54" t="s">
        <v>410</v>
      </c>
      <c r="H451" s="54">
        <v>5</v>
      </c>
      <c r="I451" s="54">
        <v>0</v>
      </c>
      <c r="J451" s="54">
        <v>0</v>
      </c>
      <c r="K451" s="54">
        <v>14</v>
      </c>
      <c r="L451" s="23"/>
      <c r="N451" t="s">
        <v>161</v>
      </c>
    </row>
    <row r="452" spans="2:14" x14ac:dyDescent="0.25">
      <c r="B452" t="s">
        <v>1556</v>
      </c>
      <c r="C452" s="58" t="s">
        <v>998</v>
      </c>
      <c r="D452" s="59" t="s">
        <v>152</v>
      </c>
      <c r="E452" s="57" t="s">
        <v>980</v>
      </c>
      <c r="F452" s="54" t="s">
        <v>151</v>
      </c>
      <c r="G452" s="54" t="s">
        <v>410</v>
      </c>
      <c r="H452" s="54">
        <v>5</v>
      </c>
      <c r="I452" s="54">
        <v>0</v>
      </c>
      <c r="J452" s="54">
        <v>0</v>
      </c>
      <c r="K452" s="54">
        <v>14</v>
      </c>
      <c r="L452" s="23"/>
      <c r="N452" t="s">
        <v>161</v>
      </c>
    </row>
    <row r="453" spans="2:14" x14ac:dyDescent="0.25">
      <c r="B453" t="s">
        <v>161</v>
      </c>
      <c r="C453" s="58" t="s">
        <v>999</v>
      </c>
      <c r="D453" s="59" t="s">
        <v>151</v>
      </c>
      <c r="E453" s="57" t="s">
        <v>1000</v>
      </c>
      <c r="F453" s="54" t="s">
        <v>151</v>
      </c>
      <c r="G453" s="54" t="s">
        <v>410</v>
      </c>
      <c r="H453" s="54">
        <v>5</v>
      </c>
      <c r="I453" s="54">
        <v>0</v>
      </c>
      <c r="J453" s="54">
        <v>16.5</v>
      </c>
      <c r="K453" s="54">
        <v>14</v>
      </c>
      <c r="L453" s="23"/>
      <c r="N453" t="s">
        <v>161</v>
      </c>
    </row>
    <row r="454" spans="2:14" x14ac:dyDescent="0.25">
      <c r="B454" t="s">
        <v>161</v>
      </c>
      <c r="C454" s="58" t="s">
        <v>1001</v>
      </c>
      <c r="D454" s="59" t="s">
        <v>151</v>
      </c>
      <c r="E454" s="57" t="s">
        <v>1002</v>
      </c>
      <c r="F454" s="54" t="s">
        <v>151</v>
      </c>
      <c r="G454" s="54" t="s">
        <v>410</v>
      </c>
      <c r="H454" s="54">
        <v>5</v>
      </c>
      <c r="I454" s="54">
        <v>0</v>
      </c>
      <c r="J454" s="54">
        <v>26.3</v>
      </c>
      <c r="K454" s="54">
        <v>14</v>
      </c>
      <c r="L454" s="23"/>
      <c r="N454" t="s">
        <v>161</v>
      </c>
    </row>
    <row r="455" spans="2:14" x14ac:dyDescent="0.25">
      <c r="B455" t="s">
        <v>161</v>
      </c>
      <c r="C455" s="58" t="s">
        <v>1003</v>
      </c>
      <c r="D455" s="59" t="s">
        <v>151</v>
      </c>
      <c r="E455" s="57" t="s">
        <v>1004</v>
      </c>
      <c r="F455" s="54" t="s">
        <v>151</v>
      </c>
      <c r="G455" s="54" t="s">
        <v>410</v>
      </c>
      <c r="H455" s="54">
        <v>5</v>
      </c>
      <c r="I455" s="54">
        <v>0</v>
      </c>
      <c r="J455" s="54">
        <v>0</v>
      </c>
      <c r="K455" s="54">
        <v>14</v>
      </c>
      <c r="L455" s="23"/>
      <c r="N455" t="s">
        <v>161</v>
      </c>
    </row>
    <row r="456" spans="2:14" x14ac:dyDescent="0.25">
      <c r="B456" t="s">
        <v>161</v>
      </c>
      <c r="C456" s="58" t="s">
        <v>1005</v>
      </c>
      <c r="D456" s="59" t="s">
        <v>151</v>
      </c>
      <c r="E456" s="57" t="s">
        <v>1006</v>
      </c>
      <c r="F456" s="54" t="s">
        <v>151</v>
      </c>
      <c r="G456" s="54" t="s">
        <v>410</v>
      </c>
      <c r="H456" s="54">
        <v>5</v>
      </c>
      <c r="I456" s="54">
        <v>0</v>
      </c>
      <c r="J456" s="54">
        <v>0</v>
      </c>
      <c r="K456" s="54">
        <v>14</v>
      </c>
      <c r="L456" s="23"/>
      <c r="N456" t="s">
        <v>161</v>
      </c>
    </row>
    <row r="457" spans="2:14" x14ac:dyDescent="0.25">
      <c r="B457" t="s">
        <v>161</v>
      </c>
      <c r="C457" s="58" t="s">
        <v>1007</v>
      </c>
      <c r="D457" s="59" t="s">
        <v>151</v>
      </c>
      <c r="E457" s="57" t="s">
        <v>1000</v>
      </c>
      <c r="F457" s="54" t="s">
        <v>151</v>
      </c>
      <c r="G457" s="54" t="s">
        <v>410</v>
      </c>
      <c r="H457" s="54">
        <v>5</v>
      </c>
      <c r="I457" s="54">
        <v>0</v>
      </c>
      <c r="J457" s="54">
        <v>0</v>
      </c>
      <c r="K457" s="54">
        <v>14</v>
      </c>
      <c r="L457" s="23"/>
      <c r="N457" t="s">
        <v>161</v>
      </c>
    </row>
    <row r="458" spans="2:14" x14ac:dyDescent="0.25">
      <c r="B458" t="s">
        <v>161</v>
      </c>
      <c r="C458" s="58" t="s">
        <v>1008</v>
      </c>
      <c r="D458" s="59" t="s">
        <v>151</v>
      </c>
      <c r="E458" s="57" t="s">
        <v>1002</v>
      </c>
      <c r="F458" s="54" t="s">
        <v>151</v>
      </c>
      <c r="G458" s="54" t="s">
        <v>410</v>
      </c>
      <c r="H458" s="54">
        <v>5</v>
      </c>
      <c r="I458" s="54">
        <v>0</v>
      </c>
      <c r="J458" s="54">
        <v>0</v>
      </c>
      <c r="K458" s="54">
        <v>14</v>
      </c>
      <c r="L458" s="23"/>
      <c r="N458" t="s">
        <v>161</v>
      </c>
    </row>
    <row r="459" spans="2:14" x14ac:dyDescent="0.25">
      <c r="B459" t="s">
        <v>161</v>
      </c>
      <c r="C459" s="58" t="s">
        <v>1009</v>
      </c>
      <c r="D459" s="59" t="s">
        <v>151</v>
      </c>
      <c r="E459" s="57" t="s">
        <v>1010</v>
      </c>
      <c r="F459" s="54" t="s">
        <v>151</v>
      </c>
      <c r="G459" s="54" t="s">
        <v>410</v>
      </c>
      <c r="H459" s="54">
        <v>5</v>
      </c>
      <c r="I459" s="54">
        <v>0</v>
      </c>
      <c r="J459" s="54">
        <v>0</v>
      </c>
      <c r="K459" s="54">
        <v>14</v>
      </c>
      <c r="L459" s="23"/>
      <c r="N459" t="s">
        <v>161</v>
      </c>
    </row>
    <row r="460" spans="2:14" x14ac:dyDescent="0.25">
      <c r="B460" t="s">
        <v>161</v>
      </c>
      <c r="C460" s="58" t="s">
        <v>1011</v>
      </c>
      <c r="D460" s="59" t="s">
        <v>151</v>
      </c>
      <c r="E460" s="57" t="s">
        <v>1012</v>
      </c>
      <c r="F460" s="54" t="s">
        <v>151</v>
      </c>
      <c r="G460" s="54" t="s">
        <v>410</v>
      </c>
      <c r="H460" s="54">
        <v>5</v>
      </c>
      <c r="I460" s="54">
        <v>0</v>
      </c>
      <c r="J460" s="54">
        <v>0</v>
      </c>
      <c r="K460" s="54">
        <v>14</v>
      </c>
      <c r="L460" s="23"/>
      <c r="N460" t="s">
        <v>161</v>
      </c>
    </row>
    <row r="461" spans="2:14" x14ac:dyDescent="0.25">
      <c r="B461" t="s">
        <v>161</v>
      </c>
      <c r="C461" s="58" t="s">
        <v>1013</v>
      </c>
      <c r="D461" s="59" t="s">
        <v>151</v>
      </c>
      <c r="E461" s="57" t="s">
        <v>1014</v>
      </c>
      <c r="F461" s="54" t="s">
        <v>151</v>
      </c>
      <c r="G461" s="54" t="s">
        <v>410</v>
      </c>
      <c r="H461" s="54">
        <v>5</v>
      </c>
      <c r="I461" s="54">
        <v>0</v>
      </c>
      <c r="J461" s="54">
        <v>15.6</v>
      </c>
      <c r="K461" s="54">
        <v>14</v>
      </c>
      <c r="L461" s="23"/>
      <c r="N461" t="s">
        <v>161</v>
      </c>
    </row>
    <row r="462" spans="2:14" x14ac:dyDescent="0.25">
      <c r="B462" t="s">
        <v>161</v>
      </c>
      <c r="C462" s="58" t="s">
        <v>1015</v>
      </c>
      <c r="D462" s="59" t="s">
        <v>151</v>
      </c>
      <c r="E462" s="57" t="s">
        <v>1016</v>
      </c>
      <c r="F462" s="54" t="s">
        <v>151</v>
      </c>
      <c r="G462" s="54" t="s">
        <v>410</v>
      </c>
      <c r="H462" s="54">
        <v>5</v>
      </c>
      <c r="I462" s="54">
        <v>0</v>
      </c>
      <c r="J462" s="54">
        <v>15.8</v>
      </c>
      <c r="K462" s="54">
        <v>14</v>
      </c>
      <c r="L462" s="23"/>
      <c r="N462" t="s">
        <v>161</v>
      </c>
    </row>
    <row r="463" spans="2:14" x14ac:dyDescent="0.25">
      <c r="B463" t="s">
        <v>161</v>
      </c>
      <c r="C463" s="58" t="s">
        <v>1017</v>
      </c>
      <c r="D463" s="59" t="s">
        <v>151</v>
      </c>
      <c r="E463" s="57" t="s">
        <v>1018</v>
      </c>
      <c r="F463" s="54" t="s">
        <v>151</v>
      </c>
      <c r="G463" s="54" t="s">
        <v>410</v>
      </c>
      <c r="H463" s="54">
        <v>5</v>
      </c>
      <c r="I463" s="54">
        <v>0</v>
      </c>
      <c r="J463" s="54">
        <v>0</v>
      </c>
      <c r="K463" s="54">
        <v>14</v>
      </c>
      <c r="L463" s="23"/>
      <c r="N463" t="s">
        <v>161</v>
      </c>
    </row>
    <row r="464" spans="2:14" x14ac:dyDescent="0.25">
      <c r="B464" t="s">
        <v>161</v>
      </c>
      <c r="C464" s="58" t="s">
        <v>1019</v>
      </c>
      <c r="D464" s="59" t="s">
        <v>151</v>
      </c>
      <c r="E464" s="57" t="s">
        <v>1020</v>
      </c>
      <c r="F464" s="54" t="s">
        <v>151</v>
      </c>
      <c r="G464" s="54" t="s">
        <v>410</v>
      </c>
      <c r="H464" s="54">
        <v>5</v>
      </c>
      <c r="I464" s="54">
        <v>0</v>
      </c>
      <c r="J464" s="54">
        <v>0</v>
      </c>
      <c r="K464" s="54">
        <v>14</v>
      </c>
      <c r="L464" s="23"/>
      <c r="N464" t="s">
        <v>161</v>
      </c>
    </row>
    <row r="465" spans="2:14" x14ac:dyDescent="0.25">
      <c r="B465" t="s">
        <v>161</v>
      </c>
      <c r="C465" s="58" t="s">
        <v>1021</v>
      </c>
      <c r="D465" s="59" t="s">
        <v>151</v>
      </c>
      <c r="E465" s="57" t="s">
        <v>1022</v>
      </c>
      <c r="F465" s="54" t="s">
        <v>151</v>
      </c>
      <c r="G465" s="54" t="s">
        <v>410</v>
      </c>
      <c r="H465" s="54">
        <v>5</v>
      </c>
      <c r="I465" s="54">
        <v>0</v>
      </c>
      <c r="J465" s="54">
        <v>0</v>
      </c>
      <c r="K465" s="54">
        <v>14</v>
      </c>
      <c r="L465" s="23"/>
      <c r="N465" t="s">
        <v>161</v>
      </c>
    </row>
    <row r="466" spans="2:14" x14ac:dyDescent="0.25">
      <c r="B466" t="s">
        <v>161</v>
      </c>
      <c r="C466" s="58" t="s">
        <v>1023</v>
      </c>
      <c r="D466" s="59" t="s">
        <v>151</v>
      </c>
      <c r="E466" s="57" t="s">
        <v>1024</v>
      </c>
      <c r="F466" s="54" t="s">
        <v>151</v>
      </c>
      <c r="G466" s="54" t="s">
        <v>410</v>
      </c>
      <c r="H466" s="54">
        <v>5</v>
      </c>
      <c r="I466" s="54">
        <v>0</v>
      </c>
      <c r="J466" s="54">
        <v>0</v>
      </c>
      <c r="K466" s="54">
        <v>14</v>
      </c>
      <c r="L466" s="23"/>
      <c r="N466" t="s">
        <v>161</v>
      </c>
    </row>
    <row r="467" spans="2:14" x14ac:dyDescent="0.25">
      <c r="B467" t="s">
        <v>161</v>
      </c>
      <c r="C467" s="58" t="s">
        <v>1025</v>
      </c>
      <c r="D467" s="59" t="s">
        <v>151</v>
      </c>
      <c r="E467" s="57" t="s">
        <v>483</v>
      </c>
      <c r="F467" s="54" t="s">
        <v>151</v>
      </c>
      <c r="G467" s="54" t="s">
        <v>410</v>
      </c>
      <c r="H467" s="54">
        <v>5</v>
      </c>
      <c r="I467" s="54">
        <v>0</v>
      </c>
      <c r="J467" s="54">
        <v>0</v>
      </c>
      <c r="K467" s="54">
        <v>14</v>
      </c>
      <c r="L467" s="23"/>
      <c r="N467" t="s">
        <v>161</v>
      </c>
    </row>
    <row r="468" spans="2:14" x14ac:dyDescent="0.25">
      <c r="B468" t="s">
        <v>161</v>
      </c>
      <c r="C468" s="58" t="s">
        <v>1026</v>
      </c>
      <c r="D468" s="59" t="s">
        <v>151</v>
      </c>
      <c r="E468" s="57" t="s">
        <v>485</v>
      </c>
      <c r="F468" s="54" t="s">
        <v>151</v>
      </c>
      <c r="G468" s="54" t="s">
        <v>410</v>
      </c>
      <c r="H468" s="54">
        <v>5</v>
      </c>
      <c r="I468" s="54">
        <v>0</v>
      </c>
      <c r="J468" s="54">
        <v>0</v>
      </c>
      <c r="K468" s="54">
        <v>14</v>
      </c>
      <c r="L468" s="23"/>
      <c r="N468" t="s">
        <v>161</v>
      </c>
    </row>
    <row r="469" spans="2:14" x14ac:dyDescent="0.25">
      <c r="B469" t="s">
        <v>161</v>
      </c>
      <c r="C469" s="58" t="s">
        <v>1027</v>
      </c>
      <c r="D469" s="59" t="s">
        <v>151</v>
      </c>
      <c r="E469" s="57" t="s">
        <v>1028</v>
      </c>
      <c r="F469" s="54" t="s">
        <v>151</v>
      </c>
      <c r="G469" s="54" t="s">
        <v>410</v>
      </c>
      <c r="H469" s="54">
        <v>5</v>
      </c>
      <c r="I469" s="54">
        <v>0</v>
      </c>
      <c r="J469" s="54">
        <v>0</v>
      </c>
      <c r="K469" s="54">
        <v>14</v>
      </c>
      <c r="L469" s="23"/>
      <c r="N469" t="s">
        <v>161</v>
      </c>
    </row>
    <row r="470" spans="2:14" x14ac:dyDescent="0.25">
      <c r="B470" t="s">
        <v>161</v>
      </c>
      <c r="C470" s="58" t="s">
        <v>1029</v>
      </c>
      <c r="D470" s="59" t="s">
        <v>151</v>
      </c>
      <c r="E470" s="57" t="s">
        <v>1030</v>
      </c>
      <c r="F470" s="54" t="s">
        <v>151</v>
      </c>
      <c r="G470" s="54" t="s">
        <v>410</v>
      </c>
      <c r="H470" s="54">
        <v>5</v>
      </c>
      <c r="I470" s="54">
        <v>0</v>
      </c>
      <c r="J470" s="54">
        <v>0</v>
      </c>
      <c r="K470" s="54">
        <v>14</v>
      </c>
      <c r="L470" s="23"/>
      <c r="N470" t="s">
        <v>161</v>
      </c>
    </row>
    <row r="471" spans="2:14" x14ac:dyDescent="0.25">
      <c r="B471" t="s">
        <v>161</v>
      </c>
      <c r="C471" s="58" t="s">
        <v>1031</v>
      </c>
      <c r="D471" s="59" t="s">
        <v>151</v>
      </c>
      <c r="E471" s="57" t="s">
        <v>1032</v>
      </c>
      <c r="F471" s="54" t="s">
        <v>151</v>
      </c>
      <c r="G471" s="54" t="s">
        <v>410</v>
      </c>
      <c r="H471" s="54">
        <v>5</v>
      </c>
      <c r="I471" s="54">
        <v>0</v>
      </c>
      <c r="J471" s="54">
        <v>0</v>
      </c>
      <c r="K471" s="54">
        <v>14</v>
      </c>
      <c r="L471" s="23"/>
      <c r="N471" t="s">
        <v>161</v>
      </c>
    </row>
    <row r="472" spans="2:14" x14ac:dyDescent="0.25">
      <c r="B472" t="s">
        <v>161</v>
      </c>
      <c r="C472" s="58" t="s">
        <v>1033</v>
      </c>
      <c r="D472" s="59" t="s">
        <v>151</v>
      </c>
      <c r="E472" s="57" t="s">
        <v>1034</v>
      </c>
      <c r="F472" s="54" t="s">
        <v>151</v>
      </c>
      <c r="G472" s="54" t="s">
        <v>410</v>
      </c>
      <c r="H472" s="54">
        <v>5</v>
      </c>
      <c r="I472" s="54">
        <v>0</v>
      </c>
      <c r="J472" s="54">
        <v>0</v>
      </c>
      <c r="K472" s="54">
        <v>14</v>
      </c>
      <c r="L472" s="23"/>
      <c r="N472" t="s">
        <v>161</v>
      </c>
    </row>
    <row r="473" spans="2:14" x14ac:dyDescent="0.25">
      <c r="B473" t="s">
        <v>161</v>
      </c>
      <c r="C473" s="58" t="s">
        <v>1035</v>
      </c>
      <c r="D473" s="59" t="s">
        <v>151</v>
      </c>
      <c r="E473" s="57" t="s">
        <v>1036</v>
      </c>
      <c r="F473" s="54" t="s">
        <v>151</v>
      </c>
      <c r="G473" s="54" t="s">
        <v>410</v>
      </c>
      <c r="H473" s="54">
        <v>5</v>
      </c>
      <c r="I473" s="54">
        <v>0</v>
      </c>
      <c r="J473" s="54">
        <v>0</v>
      </c>
      <c r="K473" s="54">
        <v>14</v>
      </c>
      <c r="L473" s="23"/>
      <c r="N473" t="s">
        <v>161</v>
      </c>
    </row>
    <row r="474" spans="2:14" x14ac:dyDescent="0.25">
      <c r="B474" t="s">
        <v>161</v>
      </c>
      <c r="C474" s="58" t="s">
        <v>1037</v>
      </c>
      <c r="D474" s="59" t="s">
        <v>151</v>
      </c>
      <c r="E474" s="57" t="s">
        <v>1038</v>
      </c>
      <c r="F474" s="54" t="s">
        <v>151</v>
      </c>
      <c r="G474" s="54" t="s">
        <v>410</v>
      </c>
      <c r="H474" s="54">
        <v>5</v>
      </c>
      <c r="I474" s="54">
        <v>0</v>
      </c>
      <c r="J474" s="54">
        <v>0</v>
      </c>
      <c r="K474" s="54">
        <v>14</v>
      </c>
      <c r="L474" s="23"/>
      <c r="N474" t="s">
        <v>161</v>
      </c>
    </row>
    <row r="475" spans="2:14" x14ac:dyDescent="0.25">
      <c r="B475" t="s">
        <v>161</v>
      </c>
      <c r="C475" s="58" t="s">
        <v>1039</v>
      </c>
      <c r="D475" s="59" t="s">
        <v>151</v>
      </c>
      <c r="E475" s="57" t="s">
        <v>1040</v>
      </c>
      <c r="F475" s="54" t="s">
        <v>151</v>
      </c>
      <c r="G475" s="54" t="s">
        <v>410</v>
      </c>
      <c r="H475" s="54">
        <v>5</v>
      </c>
      <c r="I475" s="54">
        <v>0</v>
      </c>
      <c r="J475" s="54">
        <v>0</v>
      </c>
      <c r="K475" s="54">
        <v>14</v>
      </c>
      <c r="L475" s="23"/>
      <c r="N475" t="s">
        <v>161</v>
      </c>
    </row>
    <row r="476" spans="2:14" x14ac:dyDescent="0.25">
      <c r="B476" t="s">
        <v>161</v>
      </c>
      <c r="C476" s="58" t="s">
        <v>1041</v>
      </c>
      <c r="D476" s="59" t="s">
        <v>151</v>
      </c>
      <c r="E476" s="57" t="s">
        <v>1042</v>
      </c>
      <c r="F476" s="54" t="s">
        <v>151</v>
      </c>
      <c r="G476" s="54" t="s">
        <v>410</v>
      </c>
      <c r="H476" s="54">
        <v>5</v>
      </c>
      <c r="I476" s="54">
        <v>0</v>
      </c>
      <c r="J476" s="54">
        <v>0</v>
      </c>
      <c r="K476" s="54">
        <v>14</v>
      </c>
      <c r="L476" s="23"/>
      <c r="N476" t="s">
        <v>161</v>
      </c>
    </row>
    <row r="477" spans="2:14" x14ac:dyDescent="0.25">
      <c r="B477" t="s">
        <v>161</v>
      </c>
      <c r="C477" s="58" t="s">
        <v>1043</v>
      </c>
      <c r="D477" s="59" t="s">
        <v>151</v>
      </c>
      <c r="E477" s="57" t="s">
        <v>923</v>
      </c>
      <c r="F477" s="54" t="s">
        <v>151</v>
      </c>
      <c r="G477" s="54" t="s">
        <v>410</v>
      </c>
      <c r="H477" s="54">
        <v>5</v>
      </c>
      <c r="I477" s="54">
        <v>0</v>
      </c>
      <c r="J477" s="54">
        <v>0</v>
      </c>
      <c r="K477" s="54">
        <v>14</v>
      </c>
      <c r="L477" s="23"/>
      <c r="N477" t="s">
        <v>161</v>
      </c>
    </row>
    <row r="478" spans="2:14" x14ac:dyDescent="0.25">
      <c r="B478" t="s">
        <v>161</v>
      </c>
      <c r="C478" s="58" t="s">
        <v>1044</v>
      </c>
      <c r="D478" s="59" t="s">
        <v>151</v>
      </c>
      <c r="E478" s="57" t="s">
        <v>925</v>
      </c>
      <c r="F478" s="54" t="s">
        <v>151</v>
      </c>
      <c r="G478" s="54" t="s">
        <v>410</v>
      </c>
      <c r="H478" s="54">
        <v>5</v>
      </c>
      <c r="I478" s="54">
        <v>0</v>
      </c>
      <c r="J478" s="54">
        <v>0</v>
      </c>
      <c r="K478" s="54">
        <v>14</v>
      </c>
      <c r="L478" s="23"/>
      <c r="N478" t="s">
        <v>161</v>
      </c>
    </row>
    <row r="479" spans="2:14" x14ac:dyDescent="0.25">
      <c r="B479" t="s">
        <v>161</v>
      </c>
      <c r="C479" s="58" t="s">
        <v>1045</v>
      </c>
      <c r="D479" s="59" t="s">
        <v>151</v>
      </c>
      <c r="E479" s="57" t="s">
        <v>1046</v>
      </c>
      <c r="F479" s="54" t="s">
        <v>151</v>
      </c>
      <c r="G479" s="54" t="s">
        <v>410</v>
      </c>
      <c r="H479" s="54">
        <v>5</v>
      </c>
      <c r="I479" s="54">
        <v>0</v>
      </c>
      <c r="J479" s="54">
        <v>0</v>
      </c>
      <c r="K479" s="54">
        <v>14</v>
      </c>
      <c r="L479" s="23"/>
      <c r="N479" t="s">
        <v>161</v>
      </c>
    </row>
    <row r="480" spans="2:14" x14ac:dyDescent="0.25">
      <c r="B480" t="s">
        <v>161</v>
      </c>
      <c r="C480" s="58" t="s">
        <v>1047</v>
      </c>
      <c r="D480" s="59" t="s">
        <v>151</v>
      </c>
      <c r="E480" s="57" t="s">
        <v>1048</v>
      </c>
      <c r="F480" s="54" t="s">
        <v>151</v>
      </c>
      <c r="G480" s="54" t="s">
        <v>410</v>
      </c>
      <c r="H480" s="54">
        <v>5</v>
      </c>
      <c r="I480" s="54">
        <v>0</v>
      </c>
      <c r="J480" s="54">
        <v>0</v>
      </c>
      <c r="K480" s="54">
        <v>14</v>
      </c>
      <c r="L480" s="23"/>
      <c r="N480" t="s">
        <v>161</v>
      </c>
    </row>
    <row r="481" spans="2:14" x14ac:dyDescent="0.25">
      <c r="B481" t="s">
        <v>161</v>
      </c>
      <c r="C481" s="58" t="s">
        <v>1049</v>
      </c>
      <c r="D481" s="59" t="s">
        <v>151</v>
      </c>
      <c r="E481" s="57" t="s">
        <v>446</v>
      </c>
      <c r="F481" s="54" t="s">
        <v>151</v>
      </c>
      <c r="G481" s="54" t="s">
        <v>410</v>
      </c>
      <c r="H481" s="54">
        <v>5</v>
      </c>
      <c r="I481" s="54">
        <v>0</v>
      </c>
      <c r="J481" s="54">
        <v>0</v>
      </c>
      <c r="K481" s="54">
        <v>14</v>
      </c>
      <c r="L481" s="23"/>
      <c r="N481" t="s">
        <v>161</v>
      </c>
    </row>
    <row r="482" spans="2:14" x14ac:dyDescent="0.25">
      <c r="B482" t="s">
        <v>161</v>
      </c>
      <c r="C482" s="58" t="s">
        <v>1050</v>
      </c>
      <c r="D482" s="59" t="s">
        <v>151</v>
      </c>
      <c r="E482" s="57" t="s">
        <v>1051</v>
      </c>
      <c r="F482" s="54" t="s">
        <v>151</v>
      </c>
      <c r="G482" s="54" t="s">
        <v>410</v>
      </c>
      <c r="H482" s="54">
        <v>5</v>
      </c>
      <c r="I482" s="54">
        <v>0</v>
      </c>
      <c r="J482" s="54">
        <v>0</v>
      </c>
      <c r="K482" s="54">
        <v>14</v>
      </c>
      <c r="L482" s="23"/>
      <c r="N482" t="s">
        <v>161</v>
      </c>
    </row>
    <row r="483" spans="2:14" x14ac:dyDescent="0.25">
      <c r="B483" t="s">
        <v>161</v>
      </c>
      <c r="C483" s="58" t="s">
        <v>1052</v>
      </c>
      <c r="D483" s="59" t="s">
        <v>151</v>
      </c>
      <c r="E483" s="57" t="s">
        <v>330</v>
      </c>
      <c r="F483" s="54" t="s">
        <v>151</v>
      </c>
      <c r="G483" s="54" t="s">
        <v>410</v>
      </c>
      <c r="H483" s="54">
        <v>5</v>
      </c>
      <c r="I483" s="54">
        <v>0</v>
      </c>
      <c r="J483" s="54">
        <v>0</v>
      </c>
      <c r="K483" s="54">
        <v>14</v>
      </c>
      <c r="L483" s="23"/>
      <c r="N483" t="s">
        <v>161</v>
      </c>
    </row>
    <row r="484" spans="2:14" x14ac:dyDescent="0.25">
      <c r="B484" t="s">
        <v>161</v>
      </c>
      <c r="C484" s="58" t="s">
        <v>1053</v>
      </c>
      <c r="D484" s="59" t="s">
        <v>151</v>
      </c>
      <c r="E484" s="57" t="s">
        <v>332</v>
      </c>
      <c r="F484" s="54" t="s">
        <v>151</v>
      </c>
      <c r="G484" s="54" t="s">
        <v>410</v>
      </c>
      <c r="H484" s="54">
        <v>5</v>
      </c>
      <c r="I484" s="54">
        <v>0</v>
      </c>
      <c r="J484" s="54">
        <v>0</v>
      </c>
      <c r="K484" s="54">
        <v>14</v>
      </c>
      <c r="L484" s="23"/>
      <c r="N484" t="s">
        <v>161</v>
      </c>
    </row>
    <row r="485" spans="2:14" x14ac:dyDescent="0.25">
      <c r="B485" t="s">
        <v>161</v>
      </c>
      <c r="C485" s="58" t="s">
        <v>1054</v>
      </c>
      <c r="D485" s="59" t="s">
        <v>151</v>
      </c>
      <c r="E485" s="57" t="s">
        <v>1055</v>
      </c>
      <c r="F485" s="54" t="s">
        <v>151</v>
      </c>
      <c r="G485" s="54" t="s">
        <v>410</v>
      </c>
      <c r="H485" s="54">
        <v>5</v>
      </c>
      <c r="I485" s="54">
        <v>0</v>
      </c>
      <c r="J485" s="54">
        <v>0</v>
      </c>
      <c r="K485" s="54">
        <v>14</v>
      </c>
      <c r="L485" s="23"/>
      <c r="N485" t="s">
        <v>161</v>
      </c>
    </row>
    <row r="486" spans="2:14" x14ac:dyDescent="0.25">
      <c r="B486" t="s">
        <v>161</v>
      </c>
      <c r="C486" s="58" t="s">
        <v>1056</v>
      </c>
      <c r="D486" s="59" t="s">
        <v>151</v>
      </c>
      <c r="E486" s="57" t="s">
        <v>1055</v>
      </c>
      <c r="F486" s="54" t="s">
        <v>151</v>
      </c>
      <c r="G486" s="54" t="s">
        <v>410</v>
      </c>
      <c r="H486" s="54">
        <v>5</v>
      </c>
      <c r="I486" s="54">
        <v>0</v>
      </c>
      <c r="J486" s="54">
        <v>0</v>
      </c>
      <c r="K486" s="54">
        <v>14</v>
      </c>
      <c r="L486" s="23"/>
      <c r="N486" t="s">
        <v>161</v>
      </c>
    </row>
    <row r="487" spans="2:14" x14ac:dyDescent="0.25">
      <c r="B487" t="s">
        <v>161</v>
      </c>
      <c r="C487" s="58" t="s">
        <v>1057</v>
      </c>
      <c r="D487" s="59" t="s">
        <v>151</v>
      </c>
      <c r="E487" s="57" t="s">
        <v>847</v>
      </c>
      <c r="F487" s="54" t="s">
        <v>151</v>
      </c>
      <c r="G487" s="54" t="s">
        <v>410</v>
      </c>
      <c r="H487" s="54">
        <v>5</v>
      </c>
      <c r="I487" s="54">
        <v>0</v>
      </c>
      <c r="J487" s="54">
        <v>0</v>
      </c>
      <c r="K487" s="54">
        <v>14</v>
      </c>
      <c r="L487" s="23"/>
      <c r="N487" t="s">
        <v>161</v>
      </c>
    </row>
    <row r="488" spans="2:14" x14ac:dyDescent="0.25">
      <c r="B488" t="s">
        <v>161</v>
      </c>
      <c r="C488" s="58" t="s">
        <v>1058</v>
      </c>
      <c r="D488" s="59" t="s">
        <v>151</v>
      </c>
      <c r="E488" s="57" t="s">
        <v>849</v>
      </c>
      <c r="F488" s="54" t="s">
        <v>151</v>
      </c>
      <c r="G488" s="54" t="s">
        <v>410</v>
      </c>
      <c r="H488" s="54">
        <v>5</v>
      </c>
      <c r="I488" s="54">
        <v>0</v>
      </c>
      <c r="J488" s="54">
        <v>0</v>
      </c>
      <c r="K488" s="54">
        <v>14</v>
      </c>
      <c r="L488" s="23"/>
      <c r="N488" t="s">
        <v>161</v>
      </c>
    </row>
    <row r="489" spans="2:14" x14ac:dyDescent="0.25">
      <c r="B489" t="s">
        <v>161</v>
      </c>
      <c r="C489" s="58" t="s">
        <v>1059</v>
      </c>
      <c r="D489" s="59" t="s">
        <v>151</v>
      </c>
      <c r="E489" s="57" t="s">
        <v>1060</v>
      </c>
      <c r="F489" s="54" t="s">
        <v>151</v>
      </c>
      <c r="G489" s="54" t="s">
        <v>410</v>
      </c>
      <c r="H489" s="54">
        <v>5</v>
      </c>
      <c r="I489" s="54">
        <v>0</v>
      </c>
      <c r="J489" s="54">
        <v>0</v>
      </c>
      <c r="K489" s="54">
        <v>14</v>
      </c>
      <c r="L489" s="23"/>
      <c r="N489" t="s">
        <v>161</v>
      </c>
    </row>
    <row r="490" spans="2:14" x14ac:dyDescent="0.25">
      <c r="B490" t="s">
        <v>161</v>
      </c>
      <c r="C490" s="58" t="s">
        <v>1061</v>
      </c>
      <c r="D490" s="59" t="s">
        <v>151</v>
      </c>
      <c r="E490" s="57" t="s">
        <v>1062</v>
      </c>
      <c r="F490" s="54" t="s">
        <v>151</v>
      </c>
      <c r="G490" s="54" t="s">
        <v>410</v>
      </c>
      <c r="H490" s="54">
        <v>5</v>
      </c>
      <c r="I490" s="54">
        <v>0</v>
      </c>
      <c r="J490" s="54">
        <v>0</v>
      </c>
      <c r="K490" s="54">
        <v>14</v>
      </c>
      <c r="L490" s="23"/>
      <c r="N490" t="s">
        <v>161</v>
      </c>
    </row>
    <row r="491" spans="2:14" x14ac:dyDescent="0.25">
      <c r="B491" t="s">
        <v>161</v>
      </c>
      <c r="C491" s="58" t="s">
        <v>1063</v>
      </c>
      <c r="D491" s="59" t="s">
        <v>151</v>
      </c>
      <c r="E491" s="57" t="s">
        <v>218</v>
      </c>
      <c r="F491" s="54" t="s">
        <v>151</v>
      </c>
      <c r="G491" s="54" t="s">
        <v>410</v>
      </c>
      <c r="H491" s="54">
        <v>5</v>
      </c>
      <c r="I491" s="54">
        <v>0</v>
      </c>
      <c r="J491" s="54">
        <v>0</v>
      </c>
      <c r="K491" s="54">
        <v>14</v>
      </c>
      <c r="L491" s="23"/>
      <c r="N491" t="s">
        <v>161</v>
      </c>
    </row>
    <row r="492" spans="2:14" x14ac:dyDescent="0.25">
      <c r="B492" t="s">
        <v>161</v>
      </c>
      <c r="C492" s="58" t="s">
        <v>1064</v>
      </c>
      <c r="D492" s="59" t="s">
        <v>151</v>
      </c>
      <c r="E492" s="57" t="s">
        <v>220</v>
      </c>
      <c r="F492" s="54" t="s">
        <v>151</v>
      </c>
      <c r="G492" s="54" t="s">
        <v>410</v>
      </c>
      <c r="H492" s="54">
        <v>5</v>
      </c>
      <c r="I492" s="54">
        <v>0</v>
      </c>
      <c r="J492" s="54">
        <v>0</v>
      </c>
      <c r="K492" s="54">
        <v>14</v>
      </c>
      <c r="L492" s="23"/>
      <c r="N492" t="s">
        <v>161</v>
      </c>
    </row>
    <row r="493" spans="2:14" x14ac:dyDescent="0.25">
      <c r="B493" t="s">
        <v>161</v>
      </c>
      <c r="C493" s="58" t="s">
        <v>1065</v>
      </c>
      <c r="D493" s="59" t="s">
        <v>151</v>
      </c>
      <c r="E493" s="57" t="s">
        <v>1066</v>
      </c>
      <c r="F493" s="54" t="s">
        <v>151</v>
      </c>
      <c r="G493" s="54" t="s">
        <v>410</v>
      </c>
      <c r="H493" s="54">
        <v>5</v>
      </c>
      <c r="I493" s="54">
        <v>0</v>
      </c>
      <c r="J493" s="54">
        <v>0</v>
      </c>
      <c r="K493" s="54">
        <v>14</v>
      </c>
      <c r="L493" s="23"/>
      <c r="N493" t="s">
        <v>161</v>
      </c>
    </row>
    <row r="494" spans="2:14" x14ac:dyDescent="0.25">
      <c r="B494" t="s">
        <v>161</v>
      </c>
      <c r="C494" s="58" t="s">
        <v>1067</v>
      </c>
      <c r="D494" s="59" t="s">
        <v>151</v>
      </c>
      <c r="E494" s="57" t="s">
        <v>1068</v>
      </c>
      <c r="F494" s="54" t="s">
        <v>151</v>
      </c>
      <c r="G494" s="54" t="s">
        <v>410</v>
      </c>
      <c r="H494" s="54">
        <v>5</v>
      </c>
      <c r="I494" s="54">
        <v>0</v>
      </c>
      <c r="J494" s="54">
        <v>0</v>
      </c>
      <c r="K494" s="54">
        <v>14</v>
      </c>
      <c r="L494" s="23"/>
      <c r="N494" t="s">
        <v>161</v>
      </c>
    </row>
    <row r="495" spans="2:14" x14ac:dyDescent="0.25">
      <c r="B495" t="s">
        <v>161</v>
      </c>
      <c r="C495" s="58" t="s">
        <v>1069</v>
      </c>
      <c r="D495" s="59" t="s">
        <v>151</v>
      </c>
      <c r="E495" s="57" t="s">
        <v>1070</v>
      </c>
      <c r="F495" s="54" t="s">
        <v>151</v>
      </c>
      <c r="G495" s="54" t="s">
        <v>410</v>
      </c>
      <c r="H495" s="54">
        <v>5</v>
      </c>
      <c r="I495" s="54">
        <v>0</v>
      </c>
      <c r="J495" s="54">
        <v>10.199999999999999</v>
      </c>
      <c r="K495" s="54">
        <v>14</v>
      </c>
      <c r="L495" s="23"/>
      <c r="N495" t="s">
        <v>161</v>
      </c>
    </row>
    <row r="496" spans="2:14" x14ac:dyDescent="0.25">
      <c r="B496" t="s">
        <v>161</v>
      </c>
      <c r="C496" s="58" t="s">
        <v>1071</v>
      </c>
      <c r="D496" s="59" t="s">
        <v>151</v>
      </c>
      <c r="E496" s="57" t="s">
        <v>1072</v>
      </c>
      <c r="F496" s="54" t="s">
        <v>151</v>
      </c>
      <c r="G496" s="54" t="s">
        <v>410</v>
      </c>
      <c r="H496" s="54">
        <v>5</v>
      </c>
      <c r="I496" s="54">
        <v>0</v>
      </c>
      <c r="J496" s="54">
        <v>14.6</v>
      </c>
      <c r="K496" s="54">
        <v>14</v>
      </c>
      <c r="L496" s="23"/>
      <c r="N496" t="s">
        <v>161</v>
      </c>
    </row>
    <row r="497" spans="2:14" x14ac:dyDescent="0.25">
      <c r="B497" t="s">
        <v>161</v>
      </c>
      <c r="C497" s="58" t="s">
        <v>1073</v>
      </c>
      <c r="D497" s="59" t="s">
        <v>151</v>
      </c>
      <c r="E497" s="57" t="s">
        <v>1074</v>
      </c>
      <c r="F497" s="54" t="s">
        <v>151</v>
      </c>
      <c r="G497" s="54" t="s">
        <v>410</v>
      </c>
      <c r="H497" s="54">
        <v>5</v>
      </c>
      <c r="I497" s="54">
        <v>0</v>
      </c>
      <c r="J497" s="54">
        <v>0</v>
      </c>
      <c r="K497" s="54">
        <v>14</v>
      </c>
      <c r="L497" s="23"/>
      <c r="N497" t="s">
        <v>161</v>
      </c>
    </row>
    <row r="498" spans="2:14" x14ac:dyDescent="0.25">
      <c r="B498" t="s">
        <v>161</v>
      </c>
      <c r="C498" s="58" t="s">
        <v>1075</v>
      </c>
      <c r="D498" s="59" t="s">
        <v>151</v>
      </c>
      <c r="E498" s="57" t="s">
        <v>1076</v>
      </c>
      <c r="F498" s="54" t="s">
        <v>151</v>
      </c>
      <c r="G498" s="54" t="s">
        <v>410</v>
      </c>
      <c r="H498" s="54">
        <v>5</v>
      </c>
      <c r="I498" s="54">
        <v>0</v>
      </c>
      <c r="J498" s="54">
        <v>0</v>
      </c>
      <c r="K498" s="54">
        <v>14</v>
      </c>
      <c r="L498" s="23"/>
      <c r="N498" t="s">
        <v>161</v>
      </c>
    </row>
    <row r="499" spans="2:14" x14ac:dyDescent="0.25">
      <c r="B499" t="s">
        <v>161</v>
      </c>
      <c r="C499" s="58" t="s">
        <v>1077</v>
      </c>
      <c r="D499" s="59" t="s">
        <v>151</v>
      </c>
      <c r="E499" s="57" t="s">
        <v>978</v>
      </c>
      <c r="F499" s="54" t="s">
        <v>151</v>
      </c>
      <c r="G499" s="54" t="s">
        <v>410</v>
      </c>
      <c r="H499" s="54">
        <v>5</v>
      </c>
      <c r="I499" s="54">
        <v>0</v>
      </c>
      <c r="J499" s="54">
        <v>0</v>
      </c>
      <c r="K499" s="54">
        <v>14</v>
      </c>
      <c r="L499" s="23"/>
      <c r="N499" t="s">
        <v>161</v>
      </c>
    </row>
    <row r="500" spans="2:14" x14ac:dyDescent="0.25">
      <c r="B500" t="s">
        <v>161</v>
      </c>
      <c r="C500" s="58" t="s">
        <v>1078</v>
      </c>
      <c r="D500" s="59" t="s">
        <v>151</v>
      </c>
      <c r="E500" s="57" t="s">
        <v>980</v>
      </c>
      <c r="F500" s="54" t="s">
        <v>151</v>
      </c>
      <c r="G500" s="54" t="s">
        <v>410</v>
      </c>
      <c r="H500" s="54">
        <v>5</v>
      </c>
      <c r="I500" s="54">
        <v>0</v>
      </c>
      <c r="J500" s="54">
        <v>0</v>
      </c>
      <c r="K500" s="54">
        <v>14</v>
      </c>
      <c r="L500" s="23"/>
      <c r="N500" t="s">
        <v>161</v>
      </c>
    </row>
    <row r="501" spans="2:14" x14ac:dyDescent="0.25">
      <c r="B501" t="s">
        <v>161</v>
      </c>
      <c r="C501" s="58" t="s">
        <v>1079</v>
      </c>
      <c r="D501" s="59" t="s">
        <v>151</v>
      </c>
      <c r="E501" s="57" t="s">
        <v>966</v>
      </c>
      <c r="F501" s="54" t="s">
        <v>151</v>
      </c>
      <c r="G501" s="54" t="s">
        <v>410</v>
      </c>
      <c r="H501" s="54">
        <v>5</v>
      </c>
      <c r="I501" s="54">
        <v>0</v>
      </c>
      <c r="J501" s="54">
        <v>0</v>
      </c>
      <c r="K501" s="54">
        <v>14</v>
      </c>
      <c r="L501" s="23"/>
      <c r="N501" t="s">
        <v>161</v>
      </c>
    </row>
    <row r="502" spans="2:14" x14ac:dyDescent="0.25">
      <c r="B502" t="s">
        <v>161</v>
      </c>
      <c r="C502" s="58" t="s">
        <v>1080</v>
      </c>
      <c r="D502" s="59" t="s">
        <v>151</v>
      </c>
      <c r="E502" s="57" t="s">
        <v>968</v>
      </c>
      <c r="F502" s="54" t="s">
        <v>151</v>
      </c>
      <c r="G502" s="54" t="s">
        <v>410</v>
      </c>
      <c r="H502" s="54">
        <v>5</v>
      </c>
      <c r="I502" s="54">
        <v>0</v>
      </c>
      <c r="J502" s="54">
        <v>0</v>
      </c>
      <c r="K502" s="54">
        <v>14</v>
      </c>
      <c r="L502" s="23"/>
      <c r="N502" t="s">
        <v>161</v>
      </c>
    </row>
    <row r="503" spans="2:14" x14ac:dyDescent="0.25">
      <c r="B503" t="s">
        <v>161</v>
      </c>
      <c r="C503" s="58" t="s">
        <v>1081</v>
      </c>
      <c r="D503" s="59" t="s">
        <v>151</v>
      </c>
      <c r="E503" s="57" t="s">
        <v>1082</v>
      </c>
      <c r="F503" s="54" t="s">
        <v>151</v>
      </c>
      <c r="G503" s="54" t="s">
        <v>410</v>
      </c>
      <c r="H503" s="54">
        <v>5</v>
      </c>
      <c r="I503" s="54">
        <v>0</v>
      </c>
      <c r="J503" s="54">
        <v>0</v>
      </c>
      <c r="K503" s="54">
        <v>14</v>
      </c>
      <c r="L503" s="23"/>
      <c r="N503" t="s">
        <v>161</v>
      </c>
    </row>
    <row r="504" spans="2:14" x14ac:dyDescent="0.25">
      <c r="B504" t="s">
        <v>161</v>
      </c>
      <c r="C504" s="58" t="s">
        <v>1083</v>
      </c>
      <c r="D504" s="59" t="s">
        <v>151</v>
      </c>
      <c r="E504" s="57" t="s">
        <v>1084</v>
      </c>
      <c r="F504" s="54" t="s">
        <v>151</v>
      </c>
      <c r="G504" s="54" t="s">
        <v>410</v>
      </c>
      <c r="H504" s="54">
        <v>5</v>
      </c>
      <c r="I504" s="54">
        <v>0</v>
      </c>
      <c r="J504" s="54">
        <v>0</v>
      </c>
      <c r="K504" s="54">
        <v>14</v>
      </c>
      <c r="L504" s="23"/>
      <c r="N504" t="s">
        <v>161</v>
      </c>
    </row>
    <row r="505" spans="2:14" x14ac:dyDescent="0.25">
      <c r="B505" t="s">
        <v>161</v>
      </c>
      <c r="C505" s="58" t="s">
        <v>1085</v>
      </c>
      <c r="D505" s="59" t="s">
        <v>151</v>
      </c>
      <c r="E505" s="57" t="s">
        <v>1086</v>
      </c>
      <c r="F505" s="54" t="s">
        <v>151</v>
      </c>
      <c r="G505" s="54" t="s">
        <v>410</v>
      </c>
      <c r="H505" s="54">
        <v>5</v>
      </c>
      <c r="I505" s="54">
        <v>0</v>
      </c>
      <c r="J505" s="54">
        <v>0</v>
      </c>
      <c r="K505" s="54">
        <v>14</v>
      </c>
      <c r="L505" s="23"/>
      <c r="N505" t="s">
        <v>161</v>
      </c>
    </row>
    <row r="506" spans="2:14" x14ac:dyDescent="0.25">
      <c r="B506" t="s">
        <v>161</v>
      </c>
      <c r="C506" s="58" t="s">
        <v>1087</v>
      </c>
      <c r="D506" s="59" t="s">
        <v>151</v>
      </c>
      <c r="E506" s="57" t="s">
        <v>1088</v>
      </c>
      <c r="F506" s="54" t="s">
        <v>151</v>
      </c>
      <c r="G506" s="54" t="s">
        <v>410</v>
      </c>
      <c r="H506" s="54">
        <v>5</v>
      </c>
      <c r="I506" s="54">
        <v>0</v>
      </c>
      <c r="J506" s="54">
        <v>0</v>
      </c>
      <c r="K506" s="54">
        <v>14</v>
      </c>
      <c r="L506" s="23"/>
      <c r="N506" t="s">
        <v>161</v>
      </c>
    </row>
    <row r="507" spans="2:14" x14ac:dyDescent="0.25">
      <c r="B507" t="s">
        <v>161</v>
      </c>
      <c r="C507" s="58" t="s">
        <v>1089</v>
      </c>
      <c r="D507" s="59" t="s">
        <v>151</v>
      </c>
      <c r="E507" s="57" t="s">
        <v>1090</v>
      </c>
      <c r="F507" s="54" t="s">
        <v>151</v>
      </c>
      <c r="G507" s="54" t="s">
        <v>410</v>
      </c>
      <c r="H507" s="54">
        <v>5</v>
      </c>
      <c r="I507" s="54">
        <v>0</v>
      </c>
      <c r="J507" s="54">
        <v>0</v>
      </c>
      <c r="K507" s="54">
        <v>14</v>
      </c>
      <c r="L507" s="23"/>
      <c r="N507" t="s">
        <v>161</v>
      </c>
    </row>
    <row r="508" spans="2:14" x14ac:dyDescent="0.25">
      <c r="B508" t="s">
        <v>161</v>
      </c>
      <c r="C508" s="58" t="s">
        <v>1091</v>
      </c>
      <c r="D508" s="59" t="s">
        <v>151</v>
      </c>
      <c r="E508" s="57" t="s">
        <v>1092</v>
      </c>
      <c r="F508" s="54" t="s">
        <v>151</v>
      </c>
      <c r="G508" s="54" t="s">
        <v>410</v>
      </c>
      <c r="H508" s="54">
        <v>5</v>
      </c>
      <c r="I508" s="54">
        <v>0</v>
      </c>
      <c r="J508" s="54">
        <v>0</v>
      </c>
      <c r="K508" s="54">
        <v>14</v>
      </c>
      <c r="L508" s="23"/>
      <c r="N508" t="s">
        <v>161</v>
      </c>
    </row>
    <row r="509" spans="2:14" x14ac:dyDescent="0.25">
      <c r="B509" t="s">
        <v>161</v>
      </c>
      <c r="C509" s="58" t="s">
        <v>1093</v>
      </c>
      <c r="D509" s="59" t="s">
        <v>151</v>
      </c>
      <c r="E509" s="57" t="s">
        <v>1094</v>
      </c>
      <c r="F509" s="54" t="s">
        <v>151</v>
      </c>
      <c r="G509" s="54" t="s">
        <v>410</v>
      </c>
      <c r="H509" s="54">
        <v>5</v>
      </c>
      <c r="I509" s="54">
        <v>0</v>
      </c>
      <c r="J509" s="54">
        <v>0</v>
      </c>
      <c r="K509" s="54">
        <v>14</v>
      </c>
      <c r="L509" s="23"/>
      <c r="N509" t="s">
        <v>161</v>
      </c>
    </row>
    <row r="510" spans="2:14" x14ac:dyDescent="0.25">
      <c r="B510" t="s">
        <v>161</v>
      </c>
      <c r="C510" s="58" t="s">
        <v>1095</v>
      </c>
      <c r="D510" s="59" t="s">
        <v>151</v>
      </c>
      <c r="E510" s="57" t="s">
        <v>1096</v>
      </c>
      <c r="F510" s="54" t="s">
        <v>151</v>
      </c>
      <c r="G510" s="54" t="s">
        <v>410</v>
      </c>
      <c r="H510" s="54">
        <v>5</v>
      </c>
      <c r="I510" s="54">
        <v>0</v>
      </c>
      <c r="J510" s="54">
        <v>0</v>
      </c>
      <c r="K510" s="54">
        <v>14</v>
      </c>
      <c r="L510" s="23"/>
      <c r="N510" t="s">
        <v>161</v>
      </c>
    </row>
    <row r="511" spans="2:14" x14ac:dyDescent="0.25">
      <c r="B511" t="s">
        <v>161</v>
      </c>
      <c r="C511" s="58" t="s">
        <v>1097</v>
      </c>
      <c r="D511" s="59" t="s">
        <v>151</v>
      </c>
      <c r="E511" s="57" t="s">
        <v>1098</v>
      </c>
      <c r="F511" s="54" t="s">
        <v>151</v>
      </c>
      <c r="G511" s="54" t="s">
        <v>410</v>
      </c>
      <c r="H511" s="54">
        <v>5</v>
      </c>
      <c r="I511" s="54">
        <v>0</v>
      </c>
      <c r="J511" s="54">
        <v>0</v>
      </c>
      <c r="K511" s="54">
        <v>14</v>
      </c>
      <c r="L511" s="23"/>
      <c r="N511" t="s">
        <v>161</v>
      </c>
    </row>
    <row r="512" spans="2:14" x14ac:dyDescent="0.25">
      <c r="B512" t="s">
        <v>161</v>
      </c>
      <c r="C512" s="58" t="s">
        <v>1099</v>
      </c>
      <c r="D512" s="59" t="s">
        <v>151</v>
      </c>
      <c r="E512" s="57" t="s">
        <v>1100</v>
      </c>
      <c r="F512" s="54" t="s">
        <v>151</v>
      </c>
      <c r="G512" s="54" t="s">
        <v>410</v>
      </c>
      <c r="H512" s="54">
        <v>5</v>
      </c>
      <c r="I512" s="54">
        <v>0</v>
      </c>
      <c r="J512" s="54">
        <v>0</v>
      </c>
      <c r="K512" s="54">
        <v>14</v>
      </c>
      <c r="L512" s="23"/>
      <c r="N512" t="s">
        <v>161</v>
      </c>
    </row>
    <row r="513" spans="2:14" x14ac:dyDescent="0.25">
      <c r="B513" t="s">
        <v>161</v>
      </c>
      <c r="C513" s="58" t="s">
        <v>1101</v>
      </c>
      <c r="D513" s="59" t="s">
        <v>151</v>
      </c>
      <c r="E513" s="57" t="s">
        <v>446</v>
      </c>
      <c r="F513" s="54" t="s">
        <v>151</v>
      </c>
      <c r="G513" s="54" t="s">
        <v>410</v>
      </c>
      <c r="H513" s="54">
        <v>5</v>
      </c>
      <c r="I513" s="54">
        <v>0</v>
      </c>
      <c r="J513" s="54">
        <v>22.2</v>
      </c>
      <c r="K513" s="54">
        <v>14</v>
      </c>
      <c r="L513" s="23"/>
      <c r="N513" t="s">
        <v>161</v>
      </c>
    </row>
    <row r="514" spans="2:14" x14ac:dyDescent="0.25">
      <c r="B514" t="s">
        <v>161</v>
      </c>
      <c r="C514" s="58" t="s">
        <v>1102</v>
      </c>
      <c r="D514" s="59" t="s">
        <v>151</v>
      </c>
      <c r="E514" s="57" t="s">
        <v>451</v>
      </c>
      <c r="F514" s="54" t="s">
        <v>151</v>
      </c>
      <c r="G514" s="54" t="s">
        <v>410</v>
      </c>
      <c r="H514" s="54">
        <v>5</v>
      </c>
      <c r="I514" s="54">
        <v>0</v>
      </c>
      <c r="J514" s="54">
        <v>22</v>
      </c>
      <c r="K514" s="54">
        <v>14</v>
      </c>
      <c r="L514" s="23"/>
      <c r="N514" t="s">
        <v>161</v>
      </c>
    </row>
    <row r="515" spans="2:14" x14ac:dyDescent="0.25">
      <c r="B515" t="s">
        <v>161</v>
      </c>
      <c r="C515" s="58" t="s">
        <v>1103</v>
      </c>
      <c r="D515" s="59" t="s">
        <v>151</v>
      </c>
      <c r="E515" s="57" t="s">
        <v>457</v>
      </c>
      <c r="F515" s="54" t="s">
        <v>151</v>
      </c>
      <c r="G515" s="54" t="s">
        <v>410</v>
      </c>
      <c r="H515" s="54">
        <v>5</v>
      </c>
      <c r="I515" s="54">
        <v>0</v>
      </c>
      <c r="J515" s="54">
        <v>0</v>
      </c>
      <c r="K515" s="54">
        <v>14</v>
      </c>
      <c r="L515" s="23"/>
      <c r="N515" t="s">
        <v>161</v>
      </c>
    </row>
    <row r="516" spans="2:14" x14ac:dyDescent="0.25">
      <c r="B516" t="s">
        <v>161</v>
      </c>
      <c r="C516" s="58" t="s">
        <v>1104</v>
      </c>
      <c r="D516" s="59" t="s">
        <v>151</v>
      </c>
      <c r="E516" s="57" t="s">
        <v>459</v>
      </c>
      <c r="F516" s="54" t="s">
        <v>151</v>
      </c>
      <c r="G516" s="54" t="s">
        <v>410</v>
      </c>
      <c r="H516" s="54">
        <v>5</v>
      </c>
      <c r="I516" s="54">
        <v>0</v>
      </c>
      <c r="J516" s="54">
        <v>0</v>
      </c>
      <c r="K516" s="54">
        <v>14</v>
      </c>
      <c r="L516" s="23"/>
      <c r="N516" t="s">
        <v>161</v>
      </c>
    </row>
    <row r="517" spans="2:14" x14ac:dyDescent="0.25">
      <c r="B517" t="s">
        <v>161</v>
      </c>
      <c r="C517" s="58" t="s">
        <v>1105</v>
      </c>
      <c r="D517" s="59" t="s">
        <v>151</v>
      </c>
      <c r="E517" s="57" t="s">
        <v>1106</v>
      </c>
      <c r="F517" s="54" t="s">
        <v>151</v>
      </c>
      <c r="G517" s="54" t="s">
        <v>410</v>
      </c>
      <c r="H517" s="54">
        <v>5</v>
      </c>
      <c r="I517" s="54">
        <v>0</v>
      </c>
      <c r="J517" s="54">
        <v>0</v>
      </c>
      <c r="K517" s="54">
        <v>14</v>
      </c>
      <c r="L517" s="23"/>
      <c r="N517" t="s">
        <v>161</v>
      </c>
    </row>
    <row r="518" spans="2:14" x14ac:dyDescent="0.25">
      <c r="B518" t="s">
        <v>161</v>
      </c>
      <c r="C518" s="58" t="s">
        <v>1107</v>
      </c>
      <c r="D518" s="59" t="s">
        <v>151</v>
      </c>
      <c r="E518" s="57" t="s">
        <v>1108</v>
      </c>
      <c r="F518" s="54" t="s">
        <v>151</v>
      </c>
      <c r="G518" s="54" t="s">
        <v>410</v>
      </c>
      <c r="H518" s="54">
        <v>5</v>
      </c>
      <c r="I518" s="54">
        <v>0</v>
      </c>
      <c r="J518" s="54">
        <v>0</v>
      </c>
      <c r="K518" s="54">
        <v>14</v>
      </c>
      <c r="L518" s="23"/>
      <c r="N518" t="s">
        <v>161</v>
      </c>
    </row>
    <row r="519" spans="2:14" x14ac:dyDescent="0.25">
      <c r="B519" t="s">
        <v>161</v>
      </c>
      <c r="C519" s="58" t="s">
        <v>1109</v>
      </c>
      <c r="D519" s="59" t="s">
        <v>151</v>
      </c>
      <c r="E519" s="57" t="s">
        <v>1110</v>
      </c>
      <c r="F519" s="54" t="s">
        <v>151</v>
      </c>
      <c r="G519" s="54" t="s">
        <v>410</v>
      </c>
      <c r="H519" s="54">
        <v>5</v>
      </c>
      <c r="I519" s="54">
        <v>0</v>
      </c>
      <c r="J519" s="54">
        <v>28.1</v>
      </c>
      <c r="K519" s="54">
        <v>14</v>
      </c>
      <c r="L519" s="23"/>
      <c r="N519" t="s">
        <v>161</v>
      </c>
    </row>
    <row r="520" spans="2:14" x14ac:dyDescent="0.25">
      <c r="B520" t="s">
        <v>161</v>
      </c>
      <c r="C520" s="58" t="s">
        <v>1111</v>
      </c>
      <c r="D520" s="59" t="s">
        <v>151</v>
      </c>
      <c r="E520" s="57" t="s">
        <v>1112</v>
      </c>
      <c r="F520" s="54" t="s">
        <v>151</v>
      </c>
      <c r="G520" s="54" t="s">
        <v>410</v>
      </c>
      <c r="H520" s="54">
        <v>5</v>
      </c>
      <c r="I520" s="54">
        <v>0</v>
      </c>
      <c r="J520" s="54">
        <v>20.9</v>
      </c>
      <c r="K520" s="54">
        <v>14</v>
      </c>
      <c r="L520" s="23"/>
      <c r="N520" t="s">
        <v>161</v>
      </c>
    </row>
    <row r="521" spans="2:14" x14ac:dyDescent="0.25">
      <c r="B521" t="s">
        <v>161</v>
      </c>
      <c r="C521" s="58" t="s">
        <v>1113</v>
      </c>
      <c r="D521" s="59" t="s">
        <v>151</v>
      </c>
      <c r="E521" s="57" t="s">
        <v>1114</v>
      </c>
      <c r="F521" s="54" t="s">
        <v>151</v>
      </c>
      <c r="G521" s="54" t="s">
        <v>410</v>
      </c>
      <c r="H521" s="54">
        <v>5</v>
      </c>
      <c r="I521" s="54">
        <v>0</v>
      </c>
      <c r="J521" s="54">
        <v>0</v>
      </c>
      <c r="K521" s="54">
        <v>14</v>
      </c>
      <c r="L521" s="23"/>
      <c r="N521" t="s">
        <v>161</v>
      </c>
    </row>
    <row r="522" spans="2:14" x14ac:dyDescent="0.25">
      <c r="B522" t="s">
        <v>161</v>
      </c>
      <c r="C522" s="58" t="s">
        <v>1115</v>
      </c>
      <c r="D522" s="59" t="s">
        <v>151</v>
      </c>
      <c r="E522" s="57" t="s">
        <v>1116</v>
      </c>
      <c r="F522" s="54" t="s">
        <v>151</v>
      </c>
      <c r="G522" s="54" t="s">
        <v>410</v>
      </c>
      <c r="H522" s="54">
        <v>5</v>
      </c>
      <c r="I522" s="54">
        <v>0</v>
      </c>
      <c r="J522" s="54">
        <v>0</v>
      </c>
      <c r="K522" s="54">
        <v>14</v>
      </c>
      <c r="L522" s="23"/>
      <c r="N522" t="s">
        <v>161</v>
      </c>
    </row>
    <row r="523" spans="2:14" x14ac:dyDescent="0.25">
      <c r="B523" t="s">
        <v>161</v>
      </c>
      <c r="C523" s="58" t="s">
        <v>1117</v>
      </c>
      <c r="D523" s="59" t="s">
        <v>152</v>
      </c>
      <c r="E523" s="57" t="s">
        <v>1118</v>
      </c>
      <c r="F523" s="54" t="s">
        <v>152</v>
      </c>
      <c r="G523" s="54" t="s">
        <v>147</v>
      </c>
      <c r="H523" s="54">
        <v>5</v>
      </c>
      <c r="I523" s="54">
        <v>0</v>
      </c>
      <c r="J523" s="54">
        <v>0</v>
      </c>
      <c r="K523" s="54">
        <v>14</v>
      </c>
      <c r="L523" s="23"/>
      <c r="N523" t="s">
        <v>161</v>
      </c>
    </row>
    <row r="524" spans="2:14" x14ac:dyDescent="0.25">
      <c r="B524" t="s">
        <v>161</v>
      </c>
      <c r="C524" s="58" t="s">
        <v>1119</v>
      </c>
      <c r="D524" s="59" t="s">
        <v>152</v>
      </c>
      <c r="E524" s="57" t="s">
        <v>1120</v>
      </c>
      <c r="F524" s="54" t="s">
        <v>152</v>
      </c>
      <c r="G524" s="54" t="s">
        <v>147</v>
      </c>
      <c r="H524" s="54">
        <v>5</v>
      </c>
      <c r="I524" s="54">
        <v>0</v>
      </c>
      <c r="J524" s="54">
        <v>0</v>
      </c>
      <c r="K524" s="54">
        <v>14</v>
      </c>
      <c r="L524" s="23"/>
      <c r="N524" t="s">
        <v>161</v>
      </c>
    </row>
    <row r="525" spans="2:14" x14ac:dyDescent="0.25">
      <c r="B525" t="s">
        <v>161</v>
      </c>
      <c r="C525" s="58" t="s">
        <v>1121</v>
      </c>
      <c r="D525" s="59" t="s">
        <v>152</v>
      </c>
      <c r="E525" s="57" t="s">
        <v>903</v>
      </c>
      <c r="F525" s="54" t="s">
        <v>152</v>
      </c>
      <c r="G525" s="54" t="s">
        <v>147</v>
      </c>
      <c r="H525" s="54">
        <v>5</v>
      </c>
      <c r="I525" s="54">
        <v>0</v>
      </c>
      <c r="J525" s="54">
        <v>0</v>
      </c>
      <c r="K525" s="54">
        <v>14</v>
      </c>
      <c r="L525" s="23"/>
      <c r="N525" t="s">
        <v>161</v>
      </c>
    </row>
    <row r="526" spans="2:14" x14ac:dyDescent="0.25">
      <c r="B526" t="s">
        <v>161</v>
      </c>
      <c r="C526" s="58" t="s">
        <v>1122</v>
      </c>
      <c r="D526" s="59" t="s">
        <v>152</v>
      </c>
      <c r="E526" s="57" t="s">
        <v>1123</v>
      </c>
      <c r="F526" s="54" t="s">
        <v>152</v>
      </c>
      <c r="G526" s="54" t="s">
        <v>147</v>
      </c>
      <c r="H526" s="54">
        <v>5</v>
      </c>
      <c r="I526" s="54">
        <v>0</v>
      </c>
      <c r="J526" s="54">
        <v>0</v>
      </c>
      <c r="K526" s="54">
        <v>14</v>
      </c>
      <c r="L526" s="23"/>
      <c r="N526" t="s">
        <v>161</v>
      </c>
    </row>
    <row r="527" spans="2:14" x14ac:dyDescent="0.25">
      <c r="B527" t="s">
        <v>161</v>
      </c>
      <c r="C527" s="58" t="s">
        <v>1124</v>
      </c>
      <c r="D527" s="59" t="s">
        <v>152</v>
      </c>
      <c r="E527" s="57" t="s">
        <v>1125</v>
      </c>
      <c r="F527" s="54" t="s">
        <v>152</v>
      </c>
      <c r="G527" s="54" t="s">
        <v>147</v>
      </c>
      <c r="H527" s="54">
        <v>5</v>
      </c>
      <c r="I527" s="54">
        <v>0</v>
      </c>
      <c r="J527" s="54">
        <v>0</v>
      </c>
      <c r="K527" s="54">
        <v>14</v>
      </c>
      <c r="L527" s="23"/>
      <c r="N527" t="s">
        <v>161</v>
      </c>
    </row>
    <row r="528" spans="2:14" x14ac:dyDescent="0.25">
      <c r="B528" t="s">
        <v>161</v>
      </c>
      <c r="C528" s="58" t="s">
        <v>1126</v>
      </c>
      <c r="D528" s="59" t="s">
        <v>152</v>
      </c>
      <c r="E528" s="57" t="s">
        <v>1127</v>
      </c>
      <c r="F528" s="54" t="s">
        <v>152</v>
      </c>
      <c r="G528" s="54" t="s">
        <v>147</v>
      </c>
      <c r="H528" s="54">
        <v>5</v>
      </c>
      <c r="I528" s="54">
        <v>0</v>
      </c>
      <c r="J528" s="54">
        <v>0</v>
      </c>
      <c r="K528" s="54">
        <v>14</v>
      </c>
      <c r="L528" s="23"/>
      <c r="N528" t="s">
        <v>161</v>
      </c>
    </row>
    <row r="529" spans="2:14" x14ac:dyDescent="0.25">
      <c r="B529" t="s">
        <v>161</v>
      </c>
      <c r="C529" s="58" t="s">
        <v>1128</v>
      </c>
      <c r="D529" s="59" t="s">
        <v>152</v>
      </c>
      <c r="E529" s="57" t="s">
        <v>1129</v>
      </c>
      <c r="F529" s="54" t="s">
        <v>152</v>
      </c>
      <c r="G529" s="54" t="s">
        <v>147</v>
      </c>
      <c r="H529" s="54">
        <v>5</v>
      </c>
      <c r="I529" s="54">
        <v>0</v>
      </c>
      <c r="J529" s="54">
        <v>0</v>
      </c>
      <c r="K529" s="54">
        <v>14</v>
      </c>
      <c r="L529" s="23"/>
      <c r="N529" t="s">
        <v>161</v>
      </c>
    </row>
    <row r="530" spans="2:14" x14ac:dyDescent="0.25">
      <c r="B530" t="s">
        <v>161</v>
      </c>
      <c r="C530" s="58" t="s">
        <v>1130</v>
      </c>
      <c r="D530" s="59" t="s">
        <v>152</v>
      </c>
      <c r="E530" s="57" t="s">
        <v>1131</v>
      </c>
      <c r="F530" s="54" t="s">
        <v>152</v>
      </c>
      <c r="G530" s="54" t="s">
        <v>147</v>
      </c>
      <c r="H530" s="54">
        <v>5</v>
      </c>
      <c r="I530" s="54">
        <v>0</v>
      </c>
      <c r="J530" s="54">
        <v>0</v>
      </c>
      <c r="K530" s="54">
        <v>14</v>
      </c>
      <c r="L530" s="23"/>
      <c r="N530" t="s">
        <v>161</v>
      </c>
    </row>
    <row r="531" spans="2:14" x14ac:dyDescent="0.25">
      <c r="B531" t="s">
        <v>161</v>
      </c>
      <c r="C531" s="58" t="s">
        <v>1132</v>
      </c>
      <c r="D531" s="59" t="s">
        <v>152</v>
      </c>
      <c r="E531" s="57" t="s">
        <v>1133</v>
      </c>
      <c r="F531" s="54" t="s">
        <v>152</v>
      </c>
      <c r="G531" s="54" t="s">
        <v>147</v>
      </c>
      <c r="H531" s="54">
        <v>5</v>
      </c>
      <c r="I531" s="54">
        <v>0</v>
      </c>
      <c r="J531" s="54">
        <v>13.3</v>
      </c>
      <c r="K531" s="54">
        <v>14</v>
      </c>
      <c r="L531" s="23"/>
      <c r="N531" t="s">
        <v>161</v>
      </c>
    </row>
    <row r="532" spans="2:14" x14ac:dyDescent="0.25">
      <c r="B532" t="s">
        <v>161</v>
      </c>
      <c r="C532" s="58" t="s">
        <v>1134</v>
      </c>
      <c r="D532" s="59" t="s">
        <v>152</v>
      </c>
      <c r="E532" s="57" t="s">
        <v>1135</v>
      </c>
      <c r="F532" s="54" t="s">
        <v>152</v>
      </c>
      <c r="G532" s="54" t="s">
        <v>147</v>
      </c>
      <c r="H532" s="54">
        <v>5</v>
      </c>
      <c r="I532" s="54">
        <v>0</v>
      </c>
      <c r="J532" s="54">
        <v>10.1</v>
      </c>
      <c r="K532" s="54">
        <v>14</v>
      </c>
      <c r="L532" s="23"/>
      <c r="N532" t="s">
        <v>161</v>
      </c>
    </row>
    <row r="533" spans="2:14" x14ac:dyDescent="0.25">
      <c r="B533" t="s">
        <v>161</v>
      </c>
      <c r="C533" s="58" t="s">
        <v>1136</v>
      </c>
      <c r="D533" s="59" t="s">
        <v>152</v>
      </c>
      <c r="E533" s="57" t="s">
        <v>1137</v>
      </c>
      <c r="F533" s="54" t="s">
        <v>152</v>
      </c>
      <c r="G533" s="54" t="s">
        <v>147</v>
      </c>
      <c r="H533" s="54">
        <v>5</v>
      </c>
      <c r="I533" s="54">
        <v>0</v>
      </c>
      <c r="J533" s="54">
        <v>0</v>
      </c>
      <c r="K533" s="54">
        <v>14</v>
      </c>
      <c r="L533" s="23"/>
      <c r="N533" t="s">
        <v>161</v>
      </c>
    </row>
    <row r="534" spans="2:14" x14ac:dyDescent="0.25">
      <c r="B534" t="s">
        <v>161</v>
      </c>
      <c r="C534" s="58" t="s">
        <v>1138</v>
      </c>
      <c r="D534" s="59" t="s">
        <v>152</v>
      </c>
      <c r="E534" s="57" t="s">
        <v>1139</v>
      </c>
      <c r="F534" s="54" t="s">
        <v>152</v>
      </c>
      <c r="G534" s="54" t="s">
        <v>147</v>
      </c>
      <c r="H534" s="54">
        <v>5</v>
      </c>
      <c r="I534" s="54">
        <v>0</v>
      </c>
      <c r="J534" s="54">
        <v>0</v>
      </c>
      <c r="K534" s="54">
        <v>14</v>
      </c>
      <c r="L534" s="23"/>
      <c r="N534" t="s">
        <v>161</v>
      </c>
    </row>
    <row r="535" spans="2:14" x14ac:dyDescent="0.25">
      <c r="B535" t="s">
        <v>161</v>
      </c>
      <c r="C535" s="58" t="s">
        <v>1140</v>
      </c>
      <c r="D535" s="59" t="s">
        <v>152</v>
      </c>
      <c r="E535" s="57" t="s">
        <v>1141</v>
      </c>
      <c r="F535" s="54" t="s">
        <v>152</v>
      </c>
      <c r="G535" s="54" t="s">
        <v>147</v>
      </c>
      <c r="H535" s="54">
        <v>5</v>
      </c>
      <c r="I535" s="54">
        <v>0</v>
      </c>
      <c r="J535" s="54">
        <v>0</v>
      </c>
      <c r="K535" s="54">
        <v>14</v>
      </c>
      <c r="L535" s="23"/>
      <c r="N535" t="s">
        <v>161</v>
      </c>
    </row>
    <row r="536" spans="2:14" x14ac:dyDescent="0.25">
      <c r="B536" t="s">
        <v>161</v>
      </c>
      <c r="C536" s="58" t="s">
        <v>1142</v>
      </c>
      <c r="D536" s="59" t="s">
        <v>152</v>
      </c>
      <c r="E536" s="57" t="s">
        <v>1143</v>
      </c>
      <c r="F536" s="54" t="s">
        <v>152</v>
      </c>
      <c r="G536" s="54" t="s">
        <v>147</v>
      </c>
      <c r="H536" s="54">
        <v>5</v>
      </c>
      <c r="I536" s="54">
        <v>0</v>
      </c>
      <c r="J536" s="54">
        <v>0</v>
      </c>
      <c r="K536" s="54">
        <v>14</v>
      </c>
      <c r="L536" s="23"/>
      <c r="N536" t="s">
        <v>161</v>
      </c>
    </row>
    <row r="537" spans="2:14" x14ac:dyDescent="0.25">
      <c r="B537" t="s">
        <v>161</v>
      </c>
      <c r="C537" s="58" t="s">
        <v>1144</v>
      </c>
      <c r="D537" s="59" t="s">
        <v>152</v>
      </c>
      <c r="E537" s="57" t="s">
        <v>1145</v>
      </c>
      <c r="F537" s="54" t="s">
        <v>152</v>
      </c>
      <c r="G537" s="54" t="s">
        <v>147</v>
      </c>
      <c r="H537" s="54">
        <v>5</v>
      </c>
      <c r="I537" s="54">
        <v>0</v>
      </c>
      <c r="J537" s="54">
        <v>0</v>
      </c>
      <c r="K537" s="54">
        <v>14</v>
      </c>
      <c r="L537" s="23"/>
      <c r="N537" t="s">
        <v>161</v>
      </c>
    </row>
    <row r="538" spans="2:14" x14ac:dyDescent="0.25">
      <c r="B538" t="s">
        <v>161</v>
      </c>
      <c r="C538" s="58" t="s">
        <v>1146</v>
      </c>
      <c r="D538" s="59" t="s">
        <v>152</v>
      </c>
      <c r="E538" s="57" t="s">
        <v>1147</v>
      </c>
      <c r="F538" s="54" t="s">
        <v>152</v>
      </c>
      <c r="G538" s="54" t="s">
        <v>147</v>
      </c>
      <c r="H538" s="54">
        <v>5</v>
      </c>
      <c r="I538" s="54">
        <v>0</v>
      </c>
      <c r="J538" s="54">
        <v>0</v>
      </c>
      <c r="K538" s="54">
        <v>14</v>
      </c>
      <c r="L538" s="23"/>
      <c r="N538" t="s">
        <v>161</v>
      </c>
    </row>
    <row r="539" spans="2:14" x14ac:dyDescent="0.25">
      <c r="B539" t="s">
        <v>161</v>
      </c>
      <c r="C539" s="58" t="s">
        <v>1148</v>
      </c>
      <c r="D539" s="59" t="s">
        <v>152</v>
      </c>
      <c r="E539" s="57" t="s">
        <v>1149</v>
      </c>
      <c r="F539" s="54" t="s">
        <v>152</v>
      </c>
      <c r="G539" s="54" t="s">
        <v>147</v>
      </c>
      <c r="H539" s="54">
        <v>5</v>
      </c>
      <c r="I539" s="54">
        <v>0</v>
      </c>
      <c r="J539" s="54">
        <v>0</v>
      </c>
      <c r="K539" s="54">
        <v>14</v>
      </c>
      <c r="L539" s="23"/>
      <c r="N539" t="s">
        <v>161</v>
      </c>
    </row>
    <row r="540" spans="2:14" x14ac:dyDescent="0.25">
      <c r="B540" t="s">
        <v>161</v>
      </c>
      <c r="C540" s="58" t="s">
        <v>1150</v>
      </c>
      <c r="D540" s="59" t="s">
        <v>152</v>
      </c>
      <c r="E540" s="57" t="s">
        <v>1151</v>
      </c>
      <c r="F540" s="54" t="s">
        <v>152</v>
      </c>
      <c r="G540" s="54" t="s">
        <v>147</v>
      </c>
      <c r="H540" s="54">
        <v>5</v>
      </c>
      <c r="I540" s="54">
        <v>0</v>
      </c>
      <c r="J540" s="54">
        <v>0</v>
      </c>
      <c r="K540" s="54">
        <v>14</v>
      </c>
      <c r="L540" s="23"/>
      <c r="N540" t="s">
        <v>161</v>
      </c>
    </row>
    <row r="541" spans="2:14" x14ac:dyDescent="0.25">
      <c r="B541" t="s">
        <v>161</v>
      </c>
      <c r="C541" s="58" t="s">
        <v>1152</v>
      </c>
      <c r="D541" s="59" t="s">
        <v>152</v>
      </c>
      <c r="E541" s="57" t="s">
        <v>1153</v>
      </c>
      <c r="F541" s="54" t="s">
        <v>152</v>
      </c>
      <c r="G541" s="54" t="s">
        <v>147</v>
      </c>
      <c r="H541" s="54">
        <v>5</v>
      </c>
      <c r="I541" s="54">
        <v>0</v>
      </c>
      <c r="J541" s="54">
        <v>0</v>
      </c>
      <c r="K541" s="54">
        <v>14</v>
      </c>
      <c r="L541" s="23"/>
      <c r="N541" t="s">
        <v>161</v>
      </c>
    </row>
    <row r="542" spans="2:14" x14ac:dyDescent="0.25">
      <c r="B542" t="s">
        <v>161</v>
      </c>
      <c r="C542" s="58" t="s">
        <v>1154</v>
      </c>
      <c r="D542" s="59" t="s">
        <v>152</v>
      </c>
      <c r="E542" s="57" t="s">
        <v>1155</v>
      </c>
      <c r="F542" s="54" t="s">
        <v>152</v>
      </c>
      <c r="G542" s="54" t="s">
        <v>147</v>
      </c>
      <c r="H542" s="54">
        <v>5</v>
      </c>
      <c r="I542" s="54">
        <v>0</v>
      </c>
      <c r="J542" s="54">
        <v>0</v>
      </c>
      <c r="K542" s="54">
        <v>14</v>
      </c>
      <c r="L542" s="23"/>
      <c r="N542" t="s">
        <v>161</v>
      </c>
    </row>
    <row r="543" spans="2:14" x14ac:dyDescent="0.25">
      <c r="B543" t="s">
        <v>161</v>
      </c>
      <c r="C543" s="58" t="s">
        <v>1156</v>
      </c>
      <c r="D543" s="59" t="s">
        <v>152</v>
      </c>
      <c r="E543" s="57" t="s">
        <v>1157</v>
      </c>
      <c r="F543" s="54" t="s">
        <v>152</v>
      </c>
      <c r="G543" s="54" t="s">
        <v>147</v>
      </c>
      <c r="H543" s="54">
        <v>5</v>
      </c>
      <c r="I543" s="54">
        <v>0</v>
      </c>
      <c r="J543" s="54">
        <v>0</v>
      </c>
      <c r="K543" s="54">
        <v>14</v>
      </c>
      <c r="L543" s="23"/>
      <c r="N543" t="s">
        <v>161</v>
      </c>
    </row>
    <row r="544" spans="2:14" x14ac:dyDescent="0.25">
      <c r="B544" t="s">
        <v>161</v>
      </c>
      <c r="C544" s="58" t="s">
        <v>1158</v>
      </c>
      <c r="D544" s="59" t="s">
        <v>152</v>
      </c>
      <c r="E544" s="57" t="s">
        <v>1159</v>
      </c>
      <c r="F544" s="54" t="s">
        <v>152</v>
      </c>
      <c r="G544" s="54" t="s">
        <v>147</v>
      </c>
      <c r="H544" s="54">
        <v>5</v>
      </c>
      <c r="I544" s="54">
        <v>0</v>
      </c>
      <c r="J544" s="54">
        <v>0</v>
      </c>
      <c r="K544" s="54">
        <v>14</v>
      </c>
      <c r="L544" s="23"/>
      <c r="N544" t="s">
        <v>161</v>
      </c>
    </row>
    <row r="545" spans="2:14" x14ac:dyDescent="0.25">
      <c r="B545" t="s">
        <v>161</v>
      </c>
      <c r="C545" s="58" t="s">
        <v>1160</v>
      </c>
      <c r="D545" s="59" t="s">
        <v>152</v>
      </c>
      <c r="E545" s="57" t="s">
        <v>1161</v>
      </c>
      <c r="F545" s="54" t="s">
        <v>152</v>
      </c>
      <c r="G545" s="54" t="s">
        <v>147</v>
      </c>
      <c r="H545" s="54">
        <v>5</v>
      </c>
      <c r="I545" s="54">
        <v>0</v>
      </c>
      <c r="J545" s="54">
        <v>0</v>
      </c>
      <c r="K545" s="54">
        <v>14</v>
      </c>
      <c r="L545" s="23"/>
      <c r="N545" t="s">
        <v>161</v>
      </c>
    </row>
    <row r="546" spans="2:14" x14ac:dyDescent="0.25">
      <c r="B546" t="s">
        <v>161</v>
      </c>
      <c r="C546" s="58" t="s">
        <v>1162</v>
      </c>
      <c r="D546" s="59" t="s">
        <v>152</v>
      </c>
      <c r="E546" s="57" t="s">
        <v>1163</v>
      </c>
      <c r="F546" s="54" t="s">
        <v>152</v>
      </c>
      <c r="G546" s="54" t="s">
        <v>147</v>
      </c>
      <c r="H546" s="54">
        <v>5</v>
      </c>
      <c r="I546" s="54">
        <v>0</v>
      </c>
      <c r="J546" s="54">
        <v>0</v>
      </c>
      <c r="K546" s="54">
        <v>14</v>
      </c>
      <c r="L546" s="23"/>
      <c r="N546" t="s">
        <v>161</v>
      </c>
    </row>
    <row r="547" spans="2:14" x14ac:dyDescent="0.25">
      <c r="B547" t="s">
        <v>161</v>
      </c>
      <c r="C547" s="58" t="s">
        <v>1164</v>
      </c>
      <c r="D547" s="59" t="s">
        <v>152</v>
      </c>
      <c r="E547" s="57" t="s">
        <v>777</v>
      </c>
      <c r="F547" s="54" t="s">
        <v>152</v>
      </c>
      <c r="G547" s="54" t="s">
        <v>147</v>
      </c>
      <c r="H547" s="54">
        <v>5</v>
      </c>
      <c r="I547" s="54">
        <v>0</v>
      </c>
      <c r="J547" s="54">
        <v>0</v>
      </c>
      <c r="K547" s="54">
        <v>14</v>
      </c>
      <c r="L547" s="23"/>
      <c r="N547" t="s">
        <v>161</v>
      </c>
    </row>
    <row r="548" spans="2:14" x14ac:dyDescent="0.25">
      <c r="B548" t="s">
        <v>161</v>
      </c>
      <c r="C548" s="58" t="s">
        <v>1165</v>
      </c>
      <c r="D548" s="59" t="s">
        <v>152</v>
      </c>
      <c r="E548" s="57" t="s">
        <v>779</v>
      </c>
      <c r="F548" s="54" t="s">
        <v>152</v>
      </c>
      <c r="G548" s="54" t="s">
        <v>147</v>
      </c>
      <c r="H548" s="54">
        <v>5</v>
      </c>
      <c r="I548" s="54">
        <v>0</v>
      </c>
      <c r="J548" s="54">
        <v>0</v>
      </c>
      <c r="K548" s="54">
        <v>14</v>
      </c>
      <c r="L548" s="23"/>
      <c r="N548" t="s">
        <v>161</v>
      </c>
    </row>
    <row r="549" spans="2:14" x14ac:dyDescent="0.25">
      <c r="B549" t="s">
        <v>161</v>
      </c>
      <c r="C549" s="58" t="s">
        <v>1166</v>
      </c>
      <c r="D549" s="59" t="s">
        <v>152</v>
      </c>
      <c r="E549" s="57" t="s">
        <v>1167</v>
      </c>
      <c r="F549" s="54" t="s">
        <v>152</v>
      </c>
      <c r="G549" s="54" t="s">
        <v>147</v>
      </c>
      <c r="H549" s="54">
        <v>5</v>
      </c>
      <c r="I549" s="54">
        <v>0</v>
      </c>
      <c r="J549" s="54">
        <v>0</v>
      </c>
      <c r="K549" s="54">
        <v>14</v>
      </c>
      <c r="L549" s="23"/>
      <c r="N549" t="s">
        <v>161</v>
      </c>
    </row>
    <row r="550" spans="2:14" x14ac:dyDescent="0.25">
      <c r="B550" t="s">
        <v>161</v>
      </c>
      <c r="C550" s="58" t="s">
        <v>1168</v>
      </c>
      <c r="D550" s="59" t="s">
        <v>152</v>
      </c>
      <c r="E550" s="57" t="s">
        <v>1169</v>
      </c>
      <c r="F550" s="54" t="s">
        <v>152</v>
      </c>
      <c r="G550" s="54" t="s">
        <v>147</v>
      </c>
      <c r="H550" s="54">
        <v>5</v>
      </c>
      <c r="I550" s="54">
        <v>0</v>
      </c>
      <c r="J550" s="54">
        <v>0</v>
      </c>
      <c r="K550" s="54">
        <v>14</v>
      </c>
      <c r="L550" s="23"/>
      <c r="N550" t="s">
        <v>161</v>
      </c>
    </row>
    <row r="551" spans="2:14" x14ac:dyDescent="0.25">
      <c r="B551" t="s">
        <v>161</v>
      </c>
      <c r="C551" s="58" t="s">
        <v>1170</v>
      </c>
      <c r="D551" s="59" t="s">
        <v>152</v>
      </c>
      <c r="E551" s="57" t="s">
        <v>1171</v>
      </c>
      <c r="F551" s="54" t="s">
        <v>152</v>
      </c>
      <c r="G551" s="54" t="s">
        <v>147</v>
      </c>
      <c r="H551" s="54">
        <v>5</v>
      </c>
      <c r="I551" s="54">
        <v>0</v>
      </c>
      <c r="J551" s="54">
        <v>0</v>
      </c>
      <c r="K551" s="54">
        <v>14</v>
      </c>
      <c r="L551" s="23"/>
      <c r="N551" t="s">
        <v>161</v>
      </c>
    </row>
    <row r="552" spans="2:14" x14ac:dyDescent="0.25">
      <c r="B552" t="s">
        <v>161</v>
      </c>
      <c r="C552" s="58" t="s">
        <v>1172</v>
      </c>
      <c r="D552" s="59" t="s">
        <v>152</v>
      </c>
      <c r="E552" s="57" t="s">
        <v>1173</v>
      </c>
      <c r="F552" s="54" t="s">
        <v>152</v>
      </c>
      <c r="G552" s="54" t="s">
        <v>147</v>
      </c>
      <c r="H552" s="54">
        <v>5</v>
      </c>
      <c r="I552" s="54">
        <v>0</v>
      </c>
      <c r="J552" s="54">
        <v>0</v>
      </c>
      <c r="K552" s="54">
        <v>14</v>
      </c>
      <c r="L552" s="23"/>
      <c r="N552" t="s">
        <v>161</v>
      </c>
    </row>
    <row r="553" spans="2:14" x14ac:dyDescent="0.25">
      <c r="B553" t="s">
        <v>161</v>
      </c>
      <c r="C553" s="58" t="s">
        <v>1174</v>
      </c>
      <c r="D553" s="59" t="s">
        <v>152</v>
      </c>
      <c r="E553" s="57" t="s">
        <v>1175</v>
      </c>
      <c r="F553" s="54" t="s">
        <v>152</v>
      </c>
      <c r="G553" s="54" t="s">
        <v>147</v>
      </c>
      <c r="H553" s="54">
        <v>5</v>
      </c>
      <c r="I553" s="54">
        <v>0</v>
      </c>
      <c r="J553" s="54">
        <v>0</v>
      </c>
      <c r="K553" s="54">
        <v>14</v>
      </c>
      <c r="L553" s="23"/>
      <c r="N553" t="s">
        <v>161</v>
      </c>
    </row>
    <row r="554" spans="2:14" x14ac:dyDescent="0.25">
      <c r="B554" t="s">
        <v>161</v>
      </c>
      <c r="C554" s="58" t="s">
        <v>1176</v>
      </c>
      <c r="D554" s="59" t="s">
        <v>152</v>
      </c>
      <c r="E554" s="57" t="s">
        <v>1177</v>
      </c>
      <c r="F554" s="54" t="s">
        <v>152</v>
      </c>
      <c r="G554" s="54" t="s">
        <v>147</v>
      </c>
      <c r="H554" s="54">
        <v>5</v>
      </c>
      <c r="I554" s="54">
        <v>0</v>
      </c>
      <c r="J554" s="54">
        <v>0</v>
      </c>
      <c r="K554" s="54">
        <v>14</v>
      </c>
      <c r="L554" s="23"/>
      <c r="N554" t="s">
        <v>161</v>
      </c>
    </row>
    <row r="555" spans="2:14" x14ac:dyDescent="0.25">
      <c r="B555" t="s">
        <v>161</v>
      </c>
      <c r="C555" s="58" t="s">
        <v>1178</v>
      </c>
      <c r="D555" s="59" t="s">
        <v>152</v>
      </c>
      <c r="E555" s="57" t="s">
        <v>1179</v>
      </c>
      <c r="F555" s="54" t="s">
        <v>152</v>
      </c>
      <c r="G555" s="54" t="s">
        <v>147</v>
      </c>
      <c r="H555" s="54">
        <v>5</v>
      </c>
      <c r="I555" s="54">
        <v>0</v>
      </c>
      <c r="J555" s="54">
        <v>0</v>
      </c>
      <c r="K555" s="54">
        <v>14</v>
      </c>
      <c r="L555" s="23"/>
      <c r="N555" t="s">
        <v>161</v>
      </c>
    </row>
    <row r="556" spans="2:14" x14ac:dyDescent="0.25">
      <c r="B556" t="s">
        <v>161</v>
      </c>
      <c r="C556" s="58" t="s">
        <v>1180</v>
      </c>
      <c r="D556" s="59" t="s">
        <v>152</v>
      </c>
      <c r="E556" s="57" t="s">
        <v>1181</v>
      </c>
      <c r="F556" s="54" t="s">
        <v>152</v>
      </c>
      <c r="G556" s="54" t="s">
        <v>147</v>
      </c>
      <c r="H556" s="54">
        <v>5</v>
      </c>
      <c r="I556" s="54">
        <v>0</v>
      </c>
      <c r="J556" s="54">
        <v>0</v>
      </c>
      <c r="K556" s="54">
        <v>14</v>
      </c>
      <c r="L556" s="23"/>
      <c r="N556" t="s">
        <v>161</v>
      </c>
    </row>
    <row r="557" spans="2:14" x14ac:dyDescent="0.25">
      <c r="B557" t="s">
        <v>161</v>
      </c>
      <c r="C557" s="58" t="s">
        <v>1182</v>
      </c>
      <c r="D557" s="59" t="s">
        <v>152</v>
      </c>
      <c r="E557" s="57" t="s">
        <v>1118</v>
      </c>
      <c r="F557" s="54" t="s">
        <v>152</v>
      </c>
      <c r="G557" s="54" t="s">
        <v>147</v>
      </c>
      <c r="H557" s="54">
        <v>5</v>
      </c>
      <c r="I557" s="54">
        <v>0</v>
      </c>
      <c r="J557" s="54">
        <v>0</v>
      </c>
      <c r="K557" s="54">
        <v>14</v>
      </c>
      <c r="L557" s="23"/>
      <c r="N557" t="s">
        <v>161</v>
      </c>
    </row>
    <row r="558" spans="2:14" x14ac:dyDescent="0.25">
      <c r="B558" t="s">
        <v>161</v>
      </c>
      <c r="C558" s="58" t="s">
        <v>1183</v>
      </c>
      <c r="D558" s="59" t="s">
        <v>152</v>
      </c>
      <c r="E558" s="57" t="s">
        <v>1120</v>
      </c>
      <c r="F558" s="54" t="s">
        <v>152</v>
      </c>
      <c r="G558" s="54" t="s">
        <v>147</v>
      </c>
      <c r="H558" s="54">
        <v>5</v>
      </c>
      <c r="I558" s="54">
        <v>0</v>
      </c>
      <c r="J558" s="54">
        <v>0</v>
      </c>
      <c r="K558" s="54">
        <v>14</v>
      </c>
      <c r="L558" s="23"/>
      <c r="N558" t="s">
        <v>161</v>
      </c>
    </row>
    <row r="559" spans="2:14" x14ac:dyDescent="0.25">
      <c r="B559" t="s">
        <v>161</v>
      </c>
      <c r="C559" s="58" t="s">
        <v>1184</v>
      </c>
      <c r="D559" s="59" t="s">
        <v>152</v>
      </c>
      <c r="E559" s="57" t="s">
        <v>1185</v>
      </c>
      <c r="F559" s="54" t="s">
        <v>152</v>
      </c>
      <c r="G559" s="54" t="s">
        <v>147</v>
      </c>
      <c r="H559" s="54">
        <v>5</v>
      </c>
      <c r="I559" s="54">
        <v>0</v>
      </c>
      <c r="J559" s="54">
        <v>0</v>
      </c>
      <c r="K559" s="54">
        <v>14</v>
      </c>
      <c r="L559" s="23"/>
      <c r="N559" t="s">
        <v>161</v>
      </c>
    </row>
    <row r="560" spans="2:14" x14ac:dyDescent="0.25">
      <c r="B560" t="s">
        <v>161</v>
      </c>
      <c r="C560" s="58" t="s">
        <v>1186</v>
      </c>
      <c r="D560" s="59" t="s">
        <v>152</v>
      </c>
      <c r="E560" s="57" t="s">
        <v>1187</v>
      </c>
      <c r="F560" s="54" t="s">
        <v>152</v>
      </c>
      <c r="G560" s="54" t="s">
        <v>147</v>
      </c>
      <c r="H560" s="54">
        <v>5</v>
      </c>
      <c r="I560" s="54">
        <v>0</v>
      </c>
      <c r="J560" s="54">
        <v>0</v>
      </c>
      <c r="K560" s="54">
        <v>14</v>
      </c>
      <c r="L560" s="23"/>
      <c r="N560" t="s">
        <v>161</v>
      </c>
    </row>
    <row r="561" spans="2:14" x14ac:dyDescent="0.25">
      <c r="B561" t="s">
        <v>161</v>
      </c>
      <c r="C561" s="58" t="s">
        <v>1188</v>
      </c>
      <c r="D561" s="59" t="s">
        <v>152</v>
      </c>
      <c r="E561" s="57" t="s">
        <v>903</v>
      </c>
      <c r="F561" s="54" t="s">
        <v>152</v>
      </c>
      <c r="G561" s="54" t="s">
        <v>147</v>
      </c>
      <c r="H561" s="54">
        <v>5</v>
      </c>
      <c r="I561" s="54">
        <v>0</v>
      </c>
      <c r="J561" s="54">
        <v>0</v>
      </c>
      <c r="K561" s="54">
        <v>14</v>
      </c>
      <c r="L561" s="23"/>
      <c r="N561" t="s">
        <v>161</v>
      </c>
    </row>
    <row r="562" spans="2:14" x14ac:dyDescent="0.25">
      <c r="B562" t="s">
        <v>161</v>
      </c>
      <c r="C562" s="58" t="s">
        <v>1189</v>
      </c>
      <c r="D562" s="59" t="s">
        <v>152</v>
      </c>
      <c r="E562" s="57" t="s">
        <v>1123</v>
      </c>
      <c r="F562" s="54" t="s">
        <v>152</v>
      </c>
      <c r="G562" s="54" t="s">
        <v>147</v>
      </c>
      <c r="H562" s="54">
        <v>5</v>
      </c>
      <c r="I562" s="54">
        <v>0</v>
      </c>
      <c r="J562" s="54">
        <v>0</v>
      </c>
      <c r="K562" s="54">
        <v>14</v>
      </c>
      <c r="L562" s="23"/>
      <c r="N562" t="s">
        <v>161</v>
      </c>
    </row>
    <row r="563" spans="2:14" x14ac:dyDescent="0.25">
      <c r="B563" t="s">
        <v>161</v>
      </c>
      <c r="C563" s="58" t="s">
        <v>1190</v>
      </c>
      <c r="D563" s="59" t="s">
        <v>152</v>
      </c>
      <c r="E563" s="57" t="s">
        <v>1191</v>
      </c>
      <c r="F563" s="54" t="s">
        <v>152</v>
      </c>
      <c r="G563" s="54" t="s">
        <v>147</v>
      </c>
      <c r="H563" s="54">
        <v>5</v>
      </c>
      <c r="I563" s="54">
        <v>0</v>
      </c>
      <c r="J563" s="54">
        <v>0</v>
      </c>
      <c r="K563" s="54">
        <v>14</v>
      </c>
      <c r="L563" s="23"/>
      <c r="N563" t="s">
        <v>161</v>
      </c>
    </row>
    <row r="564" spans="2:14" x14ac:dyDescent="0.25">
      <c r="B564" t="s">
        <v>161</v>
      </c>
      <c r="C564" s="58" t="s">
        <v>1192</v>
      </c>
      <c r="D564" s="59" t="s">
        <v>152</v>
      </c>
      <c r="E564" s="57" t="s">
        <v>1193</v>
      </c>
      <c r="F564" s="54" t="s">
        <v>152</v>
      </c>
      <c r="G564" s="54" t="s">
        <v>147</v>
      </c>
      <c r="H564" s="54">
        <v>5</v>
      </c>
      <c r="I564" s="54">
        <v>0</v>
      </c>
      <c r="J564" s="54">
        <v>0</v>
      </c>
      <c r="K564" s="54">
        <v>14</v>
      </c>
      <c r="L564" s="23"/>
      <c r="N564" t="s">
        <v>161</v>
      </c>
    </row>
    <row r="565" spans="2:14" x14ac:dyDescent="0.25">
      <c r="B565" t="s">
        <v>161</v>
      </c>
      <c r="C565" s="58" t="s">
        <v>1194</v>
      </c>
      <c r="D565" s="59" t="s">
        <v>152</v>
      </c>
      <c r="E565" s="57" t="s">
        <v>1195</v>
      </c>
      <c r="F565" s="54" t="s">
        <v>152</v>
      </c>
      <c r="G565" s="54" t="s">
        <v>147</v>
      </c>
      <c r="H565" s="54">
        <v>5</v>
      </c>
      <c r="I565" s="54">
        <v>0</v>
      </c>
      <c r="J565" s="54">
        <v>0</v>
      </c>
      <c r="K565" s="54">
        <v>14</v>
      </c>
      <c r="L565" s="23"/>
      <c r="N565" t="s">
        <v>161</v>
      </c>
    </row>
    <row r="566" spans="2:14" x14ac:dyDescent="0.25">
      <c r="B566" t="s">
        <v>161</v>
      </c>
      <c r="C566" s="58" t="s">
        <v>1196</v>
      </c>
      <c r="D566" s="59" t="s">
        <v>152</v>
      </c>
      <c r="E566" s="57" t="s">
        <v>1197</v>
      </c>
      <c r="F566" s="54" t="s">
        <v>152</v>
      </c>
      <c r="G566" s="54" t="s">
        <v>147</v>
      </c>
      <c r="H566" s="54">
        <v>5</v>
      </c>
      <c r="I566" s="54">
        <v>0</v>
      </c>
      <c r="J566" s="54">
        <v>0</v>
      </c>
      <c r="K566" s="54">
        <v>14</v>
      </c>
      <c r="L566" s="23"/>
      <c r="N566" t="s">
        <v>161</v>
      </c>
    </row>
    <row r="567" spans="2:14" x14ac:dyDescent="0.25">
      <c r="B567" t="s">
        <v>161</v>
      </c>
      <c r="C567" s="58" t="s">
        <v>1198</v>
      </c>
      <c r="D567" s="59" t="s">
        <v>152</v>
      </c>
      <c r="E567" s="57" t="s">
        <v>1199</v>
      </c>
      <c r="F567" s="54" t="s">
        <v>152</v>
      </c>
      <c r="G567" s="54" t="s">
        <v>147</v>
      </c>
      <c r="H567" s="54">
        <v>5</v>
      </c>
      <c r="I567" s="54">
        <v>0</v>
      </c>
      <c r="J567" s="54">
        <v>0</v>
      </c>
      <c r="K567" s="54">
        <v>14</v>
      </c>
      <c r="L567" s="23"/>
      <c r="N567" t="s">
        <v>161</v>
      </c>
    </row>
    <row r="568" spans="2:14" x14ac:dyDescent="0.25">
      <c r="B568" t="s">
        <v>161</v>
      </c>
      <c r="C568" s="58" t="s">
        <v>1200</v>
      </c>
      <c r="D568" s="59" t="s">
        <v>152</v>
      </c>
      <c r="E568" s="57" t="s">
        <v>1201</v>
      </c>
      <c r="F568" s="54" t="s">
        <v>152</v>
      </c>
      <c r="G568" s="54" t="s">
        <v>147</v>
      </c>
      <c r="H568" s="54">
        <v>5</v>
      </c>
      <c r="I568" s="54">
        <v>0</v>
      </c>
      <c r="J568" s="54">
        <v>0</v>
      </c>
      <c r="K568" s="54">
        <v>14</v>
      </c>
      <c r="L568" s="23"/>
      <c r="N568" t="s">
        <v>161</v>
      </c>
    </row>
    <row r="569" spans="2:14" x14ac:dyDescent="0.25">
      <c r="B569" t="s">
        <v>161</v>
      </c>
      <c r="C569" s="58" t="s">
        <v>1202</v>
      </c>
      <c r="D569" s="59" t="s">
        <v>152</v>
      </c>
      <c r="E569" s="57" t="s">
        <v>1203</v>
      </c>
      <c r="F569" s="54" t="s">
        <v>152</v>
      </c>
      <c r="G569" s="54" t="s">
        <v>147</v>
      </c>
      <c r="H569" s="54">
        <v>5</v>
      </c>
      <c r="I569" s="54">
        <v>0</v>
      </c>
      <c r="J569" s="54">
        <v>0</v>
      </c>
      <c r="K569" s="54">
        <v>14</v>
      </c>
      <c r="L569" s="23"/>
      <c r="N569" t="s">
        <v>161</v>
      </c>
    </row>
    <row r="570" spans="2:14" x14ac:dyDescent="0.25">
      <c r="B570" t="s">
        <v>161</v>
      </c>
      <c r="C570" s="58" t="s">
        <v>1204</v>
      </c>
      <c r="D570" s="59" t="s">
        <v>152</v>
      </c>
      <c r="E570" s="57" t="s">
        <v>1205</v>
      </c>
      <c r="F570" s="54" t="s">
        <v>152</v>
      </c>
      <c r="G570" s="54" t="s">
        <v>147</v>
      </c>
      <c r="H570" s="54">
        <v>5</v>
      </c>
      <c r="I570" s="54">
        <v>0</v>
      </c>
      <c r="J570" s="54">
        <v>0</v>
      </c>
      <c r="K570" s="54">
        <v>14</v>
      </c>
      <c r="L570" s="23"/>
      <c r="N570" t="s">
        <v>161</v>
      </c>
    </row>
    <row r="571" spans="2:14" x14ac:dyDescent="0.25">
      <c r="B571" t="s">
        <v>161</v>
      </c>
      <c r="C571" s="58" t="s">
        <v>1206</v>
      </c>
      <c r="D571" s="59" t="s">
        <v>152</v>
      </c>
      <c r="E571" s="57" t="s">
        <v>1175</v>
      </c>
      <c r="F571" s="54" t="s">
        <v>152</v>
      </c>
      <c r="G571" s="54" t="s">
        <v>147</v>
      </c>
      <c r="H571" s="54">
        <v>5</v>
      </c>
      <c r="I571" s="54">
        <v>0</v>
      </c>
      <c r="J571" s="54">
        <v>0</v>
      </c>
      <c r="K571" s="54">
        <v>14</v>
      </c>
      <c r="L571" s="23"/>
      <c r="N571" t="s">
        <v>161</v>
      </c>
    </row>
    <row r="572" spans="2:14" x14ac:dyDescent="0.25">
      <c r="B572" t="s">
        <v>161</v>
      </c>
      <c r="C572" s="58" t="s">
        <v>1207</v>
      </c>
      <c r="D572" s="59" t="s">
        <v>152</v>
      </c>
      <c r="E572" s="57" t="s">
        <v>1177</v>
      </c>
      <c r="F572" s="54" t="s">
        <v>152</v>
      </c>
      <c r="G572" s="54" t="s">
        <v>147</v>
      </c>
      <c r="H572" s="54">
        <v>5</v>
      </c>
      <c r="I572" s="54">
        <v>0</v>
      </c>
      <c r="J572" s="54">
        <v>0</v>
      </c>
      <c r="K572" s="54">
        <v>14</v>
      </c>
      <c r="L572" s="23"/>
      <c r="N572" t="s">
        <v>161</v>
      </c>
    </row>
    <row r="573" spans="2:14" x14ac:dyDescent="0.25">
      <c r="B573" t="s">
        <v>161</v>
      </c>
      <c r="C573" s="58" t="s">
        <v>1208</v>
      </c>
      <c r="D573" s="59" t="s">
        <v>152</v>
      </c>
      <c r="E573" s="57" t="s">
        <v>942</v>
      </c>
      <c r="F573" s="54" t="s">
        <v>152</v>
      </c>
      <c r="G573" s="54" t="s">
        <v>147</v>
      </c>
      <c r="H573" s="54">
        <v>5</v>
      </c>
      <c r="I573" s="54">
        <v>0</v>
      </c>
      <c r="J573" s="54">
        <v>0</v>
      </c>
      <c r="K573" s="54">
        <v>14</v>
      </c>
      <c r="L573" s="23"/>
      <c r="N573" t="s">
        <v>161</v>
      </c>
    </row>
    <row r="574" spans="2:14" x14ac:dyDescent="0.25">
      <c r="B574" t="s">
        <v>161</v>
      </c>
      <c r="C574" s="58" t="s">
        <v>1209</v>
      </c>
      <c r="D574" s="59" t="s">
        <v>152</v>
      </c>
      <c r="E574" s="57" t="s">
        <v>944</v>
      </c>
      <c r="F574" s="54" t="s">
        <v>152</v>
      </c>
      <c r="G574" s="54" t="s">
        <v>147</v>
      </c>
      <c r="H574" s="54">
        <v>5</v>
      </c>
      <c r="I574" s="54">
        <v>0</v>
      </c>
      <c r="J574" s="54">
        <v>0</v>
      </c>
      <c r="K574" s="54">
        <v>14</v>
      </c>
      <c r="L574" s="23"/>
      <c r="N574" t="s">
        <v>161</v>
      </c>
    </row>
    <row r="575" spans="2:14" x14ac:dyDescent="0.25">
      <c r="B575" t="s">
        <v>161</v>
      </c>
      <c r="C575" s="58" t="s">
        <v>1210</v>
      </c>
      <c r="D575" s="59" t="s">
        <v>152</v>
      </c>
      <c r="E575" s="57" t="s">
        <v>1211</v>
      </c>
      <c r="F575" s="54" t="s">
        <v>152</v>
      </c>
      <c r="G575" s="54" t="s">
        <v>147</v>
      </c>
      <c r="H575" s="54">
        <v>5</v>
      </c>
      <c r="I575" s="54">
        <v>0</v>
      </c>
      <c r="J575" s="54">
        <v>0</v>
      </c>
      <c r="K575" s="54">
        <v>14</v>
      </c>
      <c r="L575" s="23"/>
      <c r="N575" t="s">
        <v>161</v>
      </c>
    </row>
    <row r="576" spans="2:14" x14ac:dyDescent="0.25">
      <c r="B576" t="s">
        <v>161</v>
      </c>
      <c r="C576" s="58" t="s">
        <v>1212</v>
      </c>
      <c r="D576" s="59" t="s">
        <v>152</v>
      </c>
      <c r="E576" s="57" t="s">
        <v>1213</v>
      </c>
      <c r="F576" s="54" t="s">
        <v>152</v>
      </c>
      <c r="G576" s="54" t="s">
        <v>147</v>
      </c>
      <c r="H576" s="54">
        <v>5</v>
      </c>
      <c r="I576" s="54">
        <v>0</v>
      </c>
      <c r="J576" s="54">
        <v>0</v>
      </c>
      <c r="K576" s="54">
        <v>14</v>
      </c>
      <c r="L576" s="23"/>
      <c r="N576" t="s">
        <v>161</v>
      </c>
    </row>
    <row r="577" spans="2:14" x14ac:dyDescent="0.25">
      <c r="B577" t="s">
        <v>161</v>
      </c>
      <c r="C577" s="58" t="s">
        <v>1214</v>
      </c>
      <c r="D577" s="59" t="s">
        <v>152</v>
      </c>
      <c r="E577" s="57" t="s">
        <v>883</v>
      </c>
      <c r="F577" s="54" t="s">
        <v>152</v>
      </c>
      <c r="G577" s="54" t="s">
        <v>147</v>
      </c>
      <c r="H577" s="54">
        <v>5</v>
      </c>
      <c r="I577" s="54">
        <v>0</v>
      </c>
      <c r="J577" s="54">
        <v>0</v>
      </c>
      <c r="K577" s="54">
        <v>14</v>
      </c>
      <c r="L577" s="23"/>
      <c r="N577" t="s">
        <v>161</v>
      </c>
    </row>
    <row r="578" spans="2:14" x14ac:dyDescent="0.25">
      <c r="B578" t="s">
        <v>161</v>
      </c>
      <c r="C578" s="58" t="s">
        <v>1215</v>
      </c>
      <c r="D578" s="59" t="s">
        <v>152</v>
      </c>
      <c r="E578" s="57" t="s">
        <v>885</v>
      </c>
      <c r="F578" s="54" t="s">
        <v>152</v>
      </c>
      <c r="G578" s="54" t="s">
        <v>147</v>
      </c>
      <c r="H578" s="54">
        <v>5</v>
      </c>
      <c r="I578" s="54">
        <v>0</v>
      </c>
      <c r="J578" s="54">
        <v>0</v>
      </c>
      <c r="K578" s="54">
        <v>14</v>
      </c>
      <c r="L578" s="23"/>
      <c r="N578" t="s">
        <v>161</v>
      </c>
    </row>
    <row r="579" spans="2:14" x14ac:dyDescent="0.25">
      <c r="B579" t="s">
        <v>161</v>
      </c>
      <c r="C579" s="58" t="s">
        <v>1216</v>
      </c>
      <c r="D579" s="59" t="s">
        <v>152</v>
      </c>
      <c r="E579" s="57" t="s">
        <v>930</v>
      </c>
      <c r="F579" s="54" t="s">
        <v>152</v>
      </c>
      <c r="G579" s="54" t="s">
        <v>147</v>
      </c>
      <c r="H579" s="54">
        <v>5</v>
      </c>
      <c r="I579" s="54">
        <v>0</v>
      </c>
      <c r="J579" s="54">
        <v>0</v>
      </c>
      <c r="K579" s="54">
        <v>14</v>
      </c>
      <c r="L579" s="23"/>
      <c r="N579" t="s">
        <v>161</v>
      </c>
    </row>
    <row r="580" spans="2:14" x14ac:dyDescent="0.25">
      <c r="B580" t="s">
        <v>161</v>
      </c>
      <c r="C580" s="58" t="s">
        <v>1217</v>
      </c>
      <c r="D580" s="59" t="s">
        <v>152</v>
      </c>
      <c r="E580" s="57" t="s">
        <v>932</v>
      </c>
      <c r="F580" s="54" t="s">
        <v>152</v>
      </c>
      <c r="G580" s="54" t="s">
        <v>147</v>
      </c>
      <c r="H580" s="54">
        <v>5</v>
      </c>
      <c r="I580" s="54">
        <v>0</v>
      </c>
      <c r="J580" s="54">
        <v>0</v>
      </c>
      <c r="K580" s="54">
        <v>14</v>
      </c>
      <c r="L580" s="23"/>
      <c r="N580" t="s">
        <v>161</v>
      </c>
    </row>
    <row r="581" spans="2:14" x14ac:dyDescent="0.25">
      <c r="B581" t="s">
        <v>161</v>
      </c>
      <c r="C581" s="58" t="s">
        <v>1218</v>
      </c>
      <c r="D581" s="59" t="s">
        <v>152</v>
      </c>
      <c r="E581" s="57" t="s">
        <v>919</v>
      </c>
      <c r="F581" s="54" t="s">
        <v>152</v>
      </c>
      <c r="G581" s="54" t="s">
        <v>147</v>
      </c>
      <c r="H581" s="54">
        <v>5</v>
      </c>
      <c r="I581" s="54">
        <v>0</v>
      </c>
      <c r="J581" s="54">
        <v>0</v>
      </c>
      <c r="K581" s="54">
        <v>14</v>
      </c>
      <c r="L581" s="23"/>
      <c r="N581" t="s">
        <v>161</v>
      </c>
    </row>
    <row r="582" spans="2:14" x14ac:dyDescent="0.25">
      <c r="B582" t="s">
        <v>161</v>
      </c>
      <c r="C582" s="58" t="s">
        <v>1219</v>
      </c>
      <c r="D582" s="59" t="s">
        <v>152</v>
      </c>
      <c r="E582" s="57" t="s">
        <v>921</v>
      </c>
      <c r="F582" s="54" t="s">
        <v>152</v>
      </c>
      <c r="G582" s="54" t="s">
        <v>147</v>
      </c>
      <c r="H582" s="54">
        <v>5</v>
      </c>
      <c r="I582" s="54">
        <v>0</v>
      </c>
      <c r="J582" s="54">
        <v>0</v>
      </c>
      <c r="K582" s="54">
        <v>14</v>
      </c>
      <c r="L582" s="23"/>
      <c r="N582" t="s">
        <v>161</v>
      </c>
    </row>
    <row r="583" spans="2:14" x14ac:dyDescent="0.25">
      <c r="B583" t="s">
        <v>161</v>
      </c>
      <c r="C583" s="58" t="s">
        <v>1220</v>
      </c>
      <c r="D583" s="59" t="s">
        <v>152</v>
      </c>
      <c r="E583" s="57" t="s">
        <v>1118</v>
      </c>
      <c r="F583" s="54" t="s">
        <v>152</v>
      </c>
      <c r="G583" s="54" t="s">
        <v>147</v>
      </c>
      <c r="H583" s="54">
        <v>5</v>
      </c>
      <c r="I583" s="54">
        <v>0</v>
      </c>
      <c r="J583" s="54">
        <v>0</v>
      </c>
      <c r="K583" s="54">
        <v>14</v>
      </c>
      <c r="L583" s="23"/>
      <c r="N583" t="s">
        <v>161</v>
      </c>
    </row>
    <row r="584" spans="2:14" x14ac:dyDescent="0.25">
      <c r="B584" t="s">
        <v>161</v>
      </c>
      <c r="C584" s="58" t="s">
        <v>1221</v>
      </c>
      <c r="D584" s="59" t="s">
        <v>152</v>
      </c>
      <c r="E584" s="57" t="s">
        <v>1120</v>
      </c>
      <c r="F584" s="54" t="s">
        <v>152</v>
      </c>
      <c r="G584" s="54" t="s">
        <v>147</v>
      </c>
      <c r="H584" s="54">
        <v>5</v>
      </c>
      <c r="I584" s="54">
        <v>0</v>
      </c>
      <c r="J584" s="54">
        <v>0</v>
      </c>
      <c r="K584" s="54">
        <v>14</v>
      </c>
      <c r="L584" s="23"/>
      <c r="N584" t="s">
        <v>161</v>
      </c>
    </row>
    <row r="585" spans="2:14" x14ac:dyDescent="0.25">
      <c r="B585" t="s">
        <v>161</v>
      </c>
      <c r="C585" s="58" t="s">
        <v>1222</v>
      </c>
      <c r="D585" s="59" t="s">
        <v>152</v>
      </c>
      <c r="E585" s="57" t="s">
        <v>1223</v>
      </c>
      <c r="F585" s="54" t="s">
        <v>152</v>
      </c>
      <c r="G585" s="54" t="s">
        <v>147</v>
      </c>
      <c r="H585" s="54">
        <v>5</v>
      </c>
      <c r="I585" s="54">
        <v>0</v>
      </c>
      <c r="J585" s="54">
        <v>0</v>
      </c>
      <c r="K585" s="54">
        <v>14</v>
      </c>
      <c r="L585" s="23"/>
      <c r="N585" t="s">
        <v>161</v>
      </c>
    </row>
    <row r="586" spans="2:14" x14ac:dyDescent="0.25">
      <c r="B586" t="s">
        <v>161</v>
      </c>
      <c r="C586" s="58" t="s">
        <v>1224</v>
      </c>
      <c r="D586" s="59" t="s">
        <v>152</v>
      </c>
      <c r="E586" s="57" t="s">
        <v>1225</v>
      </c>
      <c r="F586" s="54" t="s">
        <v>152</v>
      </c>
      <c r="G586" s="54" t="s">
        <v>147</v>
      </c>
      <c r="H586" s="54">
        <v>5</v>
      </c>
      <c r="I586" s="54">
        <v>0</v>
      </c>
      <c r="J586" s="54">
        <v>0</v>
      </c>
      <c r="K586" s="54">
        <v>14</v>
      </c>
      <c r="L586" s="23"/>
      <c r="N586" t="s">
        <v>161</v>
      </c>
    </row>
    <row r="587" spans="2:14" x14ac:dyDescent="0.25">
      <c r="B587" t="s">
        <v>161</v>
      </c>
      <c r="C587" s="58" t="s">
        <v>1226</v>
      </c>
      <c r="D587" s="59" t="s">
        <v>152</v>
      </c>
      <c r="E587" s="57" t="s">
        <v>1227</v>
      </c>
      <c r="F587" s="54" t="s">
        <v>152</v>
      </c>
      <c r="G587" s="54" t="s">
        <v>147</v>
      </c>
      <c r="H587" s="54">
        <v>5</v>
      </c>
      <c r="I587" s="54">
        <v>0</v>
      </c>
      <c r="J587" s="54">
        <v>0</v>
      </c>
      <c r="K587" s="54">
        <v>14</v>
      </c>
      <c r="L587" s="23"/>
      <c r="N587" t="s">
        <v>161</v>
      </c>
    </row>
    <row r="588" spans="2:14" x14ac:dyDescent="0.25">
      <c r="B588" t="s">
        <v>161</v>
      </c>
      <c r="C588" s="58" t="s">
        <v>1228</v>
      </c>
      <c r="D588" s="59" t="s">
        <v>152</v>
      </c>
      <c r="E588" s="57" t="s">
        <v>1229</v>
      </c>
      <c r="F588" s="54" t="s">
        <v>152</v>
      </c>
      <c r="G588" s="54" t="s">
        <v>147</v>
      </c>
      <c r="H588" s="54">
        <v>5</v>
      </c>
      <c r="I588" s="54">
        <v>0</v>
      </c>
      <c r="J588" s="54">
        <v>0</v>
      </c>
      <c r="K588" s="54">
        <v>14</v>
      </c>
      <c r="L588" s="23"/>
      <c r="N588" t="s">
        <v>161</v>
      </c>
    </row>
    <row r="589" spans="2:14" x14ac:dyDescent="0.25">
      <c r="B589" t="s">
        <v>161</v>
      </c>
      <c r="C589" s="58" t="s">
        <v>1230</v>
      </c>
      <c r="D589" s="59" t="s">
        <v>152</v>
      </c>
      <c r="E589" s="57" t="s">
        <v>1157</v>
      </c>
      <c r="F589" s="54" t="s">
        <v>152</v>
      </c>
      <c r="G589" s="54" t="s">
        <v>147</v>
      </c>
      <c r="H589" s="54">
        <v>5</v>
      </c>
      <c r="I589" s="54">
        <v>0</v>
      </c>
      <c r="J589" s="54">
        <v>0</v>
      </c>
      <c r="K589" s="54">
        <v>14</v>
      </c>
      <c r="L589" s="23"/>
      <c r="N589" t="s">
        <v>161</v>
      </c>
    </row>
    <row r="590" spans="2:14" x14ac:dyDescent="0.25">
      <c r="B590" t="s">
        <v>161</v>
      </c>
      <c r="C590" s="58" t="s">
        <v>1231</v>
      </c>
      <c r="D590" s="59" t="s">
        <v>152</v>
      </c>
      <c r="E590" s="57" t="s">
        <v>1159</v>
      </c>
      <c r="F590" s="54" t="s">
        <v>152</v>
      </c>
      <c r="G590" s="54" t="s">
        <v>147</v>
      </c>
      <c r="H590" s="54">
        <v>5</v>
      </c>
      <c r="I590" s="54">
        <v>0</v>
      </c>
      <c r="J590" s="54">
        <v>0</v>
      </c>
      <c r="K590" s="54">
        <v>14</v>
      </c>
      <c r="L590" s="23"/>
      <c r="N590" t="s">
        <v>161</v>
      </c>
    </row>
    <row r="591" spans="2:14" x14ac:dyDescent="0.25">
      <c r="B591" t="s">
        <v>161</v>
      </c>
      <c r="C591" s="58" t="s">
        <v>1232</v>
      </c>
      <c r="D591" s="59" t="s">
        <v>152</v>
      </c>
      <c r="E591" s="57" t="s">
        <v>1233</v>
      </c>
      <c r="F591" s="54" t="s">
        <v>152</v>
      </c>
      <c r="G591" s="54" t="s">
        <v>147</v>
      </c>
      <c r="H591" s="54">
        <v>5</v>
      </c>
      <c r="I591" s="54">
        <v>0</v>
      </c>
      <c r="J591" s="54">
        <v>0</v>
      </c>
      <c r="K591" s="54">
        <v>14</v>
      </c>
      <c r="L591" s="23"/>
      <c r="N591" t="s">
        <v>161</v>
      </c>
    </row>
    <row r="592" spans="2:14" x14ac:dyDescent="0.25">
      <c r="B592" t="s">
        <v>161</v>
      </c>
      <c r="C592" s="58" t="s">
        <v>1234</v>
      </c>
      <c r="D592" s="59" t="s">
        <v>152</v>
      </c>
      <c r="E592" s="57" t="s">
        <v>1235</v>
      </c>
      <c r="F592" s="54" t="s">
        <v>152</v>
      </c>
      <c r="G592" s="54" t="s">
        <v>147</v>
      </c>
      <c r="H592" s="54">
        <v>5</v>
      </c>
      <c r="I592" s="54">
        <v>0</v>
      </c>
      <c r="J592" s="54">
        <v>0</v>
      </c>
      <c r="K592" s="54">
        <v>14</v>
      </c>
      <c r="L592" s="23"/>
      <c r="N592" t="s">
        <v>161</v>
      </c>
    </row>
    <row r="593" spans="2:14" x14ac:dyDescent="0.25">
      <c r="B593" t="s">
        <v>161</v>
      </c>
      <c r="C593" s="58" t="s">
        <v>1236</v>
      </c>
      <c r="D593" s="59" t="s">
        <v>152</v>
      </c>
      <c r="E593" s="57" t="s">
        <v>523</v>
      </c>
      <c r="F593" s="54" t="s">
        <v>152</v>
      </c>
      <c r="G593" s="54" t="s">
        <v>147</v>
      </c>
      <c r="H593" s="54">
        <v>5</v>
      </c>
      <c r="I593" s="54">
        <v>0</v>
      </c>
      <c r="J593" s="54">
        <v>0</v>
      </c>
      <c r="K593" s="54">
        <v>14</v>
      </c>
      <c r="L593" s="23"/>
      <c r="N593" t="s">
        <v>161</v>
      </c>
    </row>
    <row r="594" spans="2:14" x14ac:dyDescent="0.25">
      <c r="B594" t="s">
        <v>161</v>
      </c>
      <c r="C594" s="58" t="s">
        <v>1237</v>
      </c>
      <c r="D594" s="59" t="s">
        <v>152</v>
      </c>
      <c r="E594" s="57" t="s">
        <v>525</v>
      </c>
      <c r="F594" s="54" t="s">
        <v>152</v>
      </c>
      <c r="G594" s="54" t="s">
        <v>147</v>
      </c>
      <c r="H594" s="54">
        <v>5</v>
      </c>
      <c r="I594" s="54">
        <v>0</v>
      </c>
      <c r="J594" s="54">
        <v>0</v>
      </c>
      <c r="K594" s="54">
        <v>14</v>
      </c>
      <c r="L594" s="23"/>
      <c r="N594" t="s">
        <v>161</v>
      </c>
    </row>
    <row r="595" spans="2:14" x14ac:dyDescent="0.25">
      <c r="B595" t="s">
        <v>161</v>
      </c>
      <c r="C595" s="58" t="s">
        <v>1238</v>
      </c>
      <c r="D595" s="59" t="s">
        <v>152</v>
      </c>
      <c r="E595" s="57" t="s">
        <v>1239</v>
      </c>
      <c r="F595" s="54" t="s">
        <v>152</v>
      </c>
      <c r="G595" s="54" t="s">
        <v>147</v>
      </c>
      <c r="H595" s="54">
        <v>5</v>
      </c>
      <c r="I595" s="54">
        <v>0</v>
      </c>
      <c r="J595" s="54">
        <v>0</v>
      </c>
      <c r="K595" s="54">
        <v>14</v>
      </c>
      <c r="L595" s="23"/>
      <c r="N595" t="s">
        <v>161</v>
      </c>
    </row>
    <row r="596" spans="2:14" x14ac:dyDescent="0.25">
      <c r="B596" t="s">
        <v>161</v>
      </c>
      <c r="C596" s="58" t="s">
        <v>1240</v>
      </c>
      <c r="D596" s="59" t="s">
        <v>152</v>
      </c>
      <c r="E596" s="57" t="s">
        <v>1241</v>
      </c>
      <c r="F596" s="54" t="s">
        <v>152</v>
      </c>
      <c r="G596" s="54" t="s">
        <v>147</v>
      </c>
      <c r="H596" s="54">
        <v>5</v>
      </c>
      <c r="I596" s="54">
        <v>0</v>
      </c>
      <c r="J596" s="54">
        <v>0</v>
      </c>
      <c r="K596" s="54">
        <v>14</v>
      </c>
      <c r="L596" s="23"/>
      <c r="N596" t="s">
        <v>161</v>
      </c>
    </row>
    <row r="597" spans="2:14" x14ac:dyDescent="0.25">
      <c r="B597" t="s">
        <v>161</v>
      </c>
      <c r="C597" s="58" t="s">
        <v>1242</v>
      </c>
      <c r="D597" s="59" t="s">
        <v>152</v>
      </c>
      <c r="E597" s="57" t="s">
        <v>1243</v>
      </c>
      <c r="F597" s="54" t="s">
        <v>152</v>
      </c>
      <c r="G597" s="54" t="s">
        <v>147</v>
      </c>
      <c r="H597" s="54">
        <v>5</v>
      </c>
      <c r="I597" s="54">
        <v>0</v>
      </c>
      <c r="J597" s="54">
        <v>0</v>
      </c>
      <c r="K597" s="54">
        <v>14</v>
      </c>
      <c r="L597" s="23"/>
      <c r="N597" t="s">
        <v>161</v>
      </c>
    </row>
    <row r="598" spans="2:14" x14ac:dyDescent="0.25">
      <c r="B598" t="s">
        <v>161</v>
      </c>
      <c r="C598" s="58" t="s">
        <v>1244</v>
      </c>
      <c r="D598" s="59" t="s">
        <v>152</v>
      </c>
      <c r="E598" s="57" t="s">
        <v>1245</v>
      </c>
      <c r="F598" s="54" t="s">
        <v>152</v>
      </c>
      <c r="G598" s="54" t="s">
        <v>147</v>
      </c>
      <c r="H598" s="54">
        <v>5</v>
      </c>
      <c r="I598" s="54">
        <v>0</v>
      </c>
      <c r="J598" s="54">
        <v>0</v>
      </c>
      <c r="K598" s="54">
        <v>14</v>
      </c>
      <c r="L598" s="23"/>
      <c r="N598" t="s">
        <v>161</v>
      </c>
    </row>
    <row r="599" spans="2:14" x14ac:dyDescent="0.25">
      <c r="B599" t="s">
        <v>161</v>
      </c>
      <c r="C599" s="58" t="s">
        <v>1246</v>
      </c>
      <c r="D599" s="59" t="s">
        <v>152</v>
      </c>
      <c r="E599" s="57" t="s">
        <v>1227</v>
      </c>
      <c r="F599" s="54" t="s">
        <v>152</v>
      </c>
      <c r="G599" s="54" t="s">
        <v>147</v>
      </c>
      <c r="H599" s="54">
        <v>5</v>
      </c>
      <c r="I599" s="54">
        <v>0</v>
      </c>
      <c r="J599" s="54">
        <v>0</v>
      </c>
      <c r="K599" s="54">
        <v>14</v>
      </c>
      <c r="L599" s="23"/>
      <c r="N599" t="s">
        <v>161</v>
      </c>
    </row>
    <row r="600" spans="2:14" x14ac:dyDescent="0.25">
      <c r="B600" t="s">
        <v>161</v>
      </c>
      <c r="C600" s="58" t="s">
        <v>1247</v>
      </c>
      <c r="D600" s="59" t="s">
        <v>152</v>
      </c>
      <c r="E600" s="57" t="s">
        <v>1229</v>
      </c>
      <c r="F600" s="54" t="s">
        <v>152</v>
      </c>
      <c r="G600" s="54" t="s">
        <v>147</v>
      </c>
      <c r="H600" s="54">
        <v>5</v>
      </c>
      <c r="I600" s="54">
        <v>0</v>
      </c>
      <c r="J600" s="54">
        <v>0</v>
      </c>
      <c r="K600" s="54">
        <v>14</v>
      </c>
      <c r="L600" s="23"/>
      <c r="N600" t="s">
        <v>161</v>
      </c>
    </row>
    <row r="601" spans="2:14" x14ac:dyDescent="0.25">
      <c r="B601" t="s">
        <v>161</v>
      </c>
      <c r="C601" s="58" t="s">
        <v>1248</v>
      </c>
      <c r="D601" s="59" t="s">
        <v>152</v>
      </c>
      <c r="E601" s="57" t="s">
        <v>1249</v>
      </c>
      <c r="F601" s="54" t="s">
        <v>152</v>
      </c>
      <c r="G601" s="54" t="s">
        <v>147</v>
      </c>
      <c r="H601" s="54">
        <v>5</v>
      </c>
      <c r="I601" s="54">
        <v>0</v>
      </c>
      <c r="J601" s="54">
        <v>0</v>
      </c>
      <c r="K601" s="54">
        <v>14</v>
      </c>
      <c r="L601" s="23"/>
      <c r="N601" t="s">
        <v>161</v>
      </c>
    </row>
    <row r="602" spans="2:14" x14ac:dyDescent="0.25">
      <c r="B602" t="s">
        <v>161</v>
      </c>
      <c r="C602" s="58" t="s">
        <v>1250</v>
      </c>
      <c r="D602" s="59" t="s">
        <v>152</v>
      </c>
      <c r="E602" s="57" t="s">
        <v>1251</v>
      </c>
      <c r="F602" s="54" t="s">
        <v>152</v>
      </c>
      <c r="G602" s="54" t="s">
        <v>147</v>
      </c>
      <c r="H602" s="54">
        <v>5</v>
      </c>
      <c r="I602" s="54">
        <v>0</v>
      </c>
      <c r="J602" s="54">
        <v>0</v>
      </c>
      <c r="K602" s="54">
        <v>14</v>
      </c>
      <c r="L602" s="23"/>
      <c r="N602" t="s">
        <v>161</v>
      </c>
    </row>
    <row r="603" spans="2:14" x14ac:dyDescent="0.25">
      <c r="B603" t="s">
        <v>161</v>
      </c>
      <c r="C603" s="58" t="s">
        <v>1252</v>
      </c>
      <c r="D603" s="59" t="s">
        <v>152</v>
      </c>
      <c r="E603" s="57" t="s">
        <v>1253</v>
      </c>
      <c r="F603" s="54" t="s">
        <v>152</v>
      </c>
      <c r="G603" s="54" t="s">
        <v>147</v>
      </c>
      <c r="H603" s="54">
        <v>5</v>
      </c>
      <c r="I603" s="54">
        <v>0</v>
      </c>
      <c r="J603" s="54">
        <v>0</v>
      </c>
      <c r="K603" s="54">
        <v>14</v>
      </c>
      <c r="L603" s="23"/>
      <c r="N603" t="s">
        <v>161</v>
      </c>
    </row>
    <row r="604" spans="2:14" x14ac:dyDescent="0.25">
      <c r="B604" t="s">
        <v>161</v>
      </c>
      <c r="C604" s="58" t="s">
        <v>1254</v>
      </c>
      <c r="D604" s="59" t="s">
        <v>152</v>
      </c>
      <c r="E604" s="57" t="s">
        <v>1255</v>
      </c>
      <c r="F604" s="54" t="s">
        <v>152</v>
      </c>
      <c r="G604" s="54" t="s">
        <v>147</v>
      </c>
      <c r="H604" s="54">
        <v>5</v>
      </c>
      <c r="I604" s="54">
        <v>0</v>
      </c>
      <c r="J604" s="54">
        <v>0</v>
      </c>
      <c r="K604" s="54">
        <v>14</v>
      </c>
      <c r="L604" s="23"/>
      <c r="N604" t="s">
        <v>161</v>
      </c>
    </row>
    <row r="605" spans="2:14" x14ac:dyDescent="0.25">
      <c r="B605" t="s">
        <v>161</v>
      </c>
      <c r="C605" s="58" t="s">
        <v>1256</v>
      </c>
      <c r="D605" s="59" t="s">
        <v>152</v>
      </c>
      <c r="E605" s="57" t="s">
        <v>1257</v>
      </c>
      <c r="F605" s="54" t="s">
        <v>152</v>
      </c>
      <c r="G605" s="54" t="s">
        <v>147</v>
      </c>
      <c r="H605" s="54">
        <v>5</v>
      </c>
      <c r="I605" s="54">
        <v>0</v>
      </c>
      <c r="J605" s="54">
        <v>0</v>
      </c>
      <c r="K605" s="54">
        <v>14</v>
      </c>
      <c r="L605" s="23"/>
      <c r="N605" t="s">
        <v>161</v>
      </c>
    </row>
    <row r="606" spans="2:14" x14ac:dyDescent="0.25">
      <c r="B606" t="s">
        <v>161</v>
      </c>
      <c r="C606" s="58" t="s">
        <v>1258</v>
      </c>
      <c r="D606" s="59" t="s">
        <v>152</v>
      </c>
      <c r="E606" s="57" t="s">
        <v>1259</v>
      </c>
      <c r="F606" s="54" t="s">
        <v>152</v>
      </c>
      <c r="G606" s="54" t="s">
        <v>147</v>
      </c>
      <c r="H606" s="54">
        <v>5</v>
      </c>
      <c r="I606" s="54">
        <v>0</v>
      </c>
      <c r="J606" s="54">
        <v>0</v>
      </c>
      <c r="K606" s="54">
        <v>14</v>
      </c>
      <c r="L606" s="23"/>
      <c r="N606" t="s">
        <v>161</v>
      </c>
    </row>
    <row r="607" spans="2:14" x14ac:dyDescent="0.25">
      <c r="B607" t="s">
        <v>161</v>
      </c>
      <c r="C607" s="58" t="s">
        <v>1260</v>
      </c>
      <c r="D607" s="59" t="s">
        <v>152</v>
      </c>
      <c r="E607" s="57" t="s">
        <v>1133</v>
      </c>
      <c r="F607" s="54" t="s">
        <v>152</v>
      </c>
      <c r="G607" s="54" t="s">
        <v>147</v>
      </c>
      <c r="H607" s="54">
        <v>5</v>
      </c>
      <c r="I607" s="54">
        <v>0</v>
      </c>
      <c r="J607" s="54">
        <v>19.899999999999999</v>
      </c>
      <c r="K607" s="54">
        <v>14</v>
      </c>
      <c r="L607" s="23"/>
      <c r="N607" t="s">
        <v>161</v>
      </c>
    </row>
    <row r="608" spans="2:14" x14ac:dyDescent="0.25">
      <c r="B608" t="s">
        <v>161</v>
      </c>
      <c r="C608" s="58" t="s">
        <v>1261</v>
      </c>
      <c r="D608" s="59" t="s">
        <v>152</v>
      </c>
      <c r="E608" s="57" t="s">
        <v>1135</v>
      </c>
      <c r="F608" s="54" t="s">
        <v>152</v>
      </c>
      <c r="G608" s="54" t="s">
        <v>147</v>
      </c>
      <c r="H608" s="54">
        <v>5</v>
      </c>
      <c r="I608" s="54">
        <v>0</v>
      </c>
      <c r="J608" s="54">
        <v>24.3</v>
      </c>
      <c r="K608" s="54">
        <v>14</v>
      </c>
      <c r="L608" s="23"/>
      <c r="N608" t="s">
        <v>161</v>
      </c>
    </row>
    <row r="609" spans="2:14" x14ac:dyDescent="0.25">
      <c r="B609" t="s">
        <v>161</v>
      </c>
      <c r="C609" s="58" t="s">
        <v>1262</v>
      </c>
      <c r="D609" s="59" t="s">
        <v>152</v>
      </c>
      <c r="E609" s="57" t="s">
        <v>1145</v>
      </c>
      <c r="F609" s="54" t="s">
        <v>152</v>
      </c>
      <c r="G609" s="54" t="s">
        <v>147</v>
      </c>
      <c r="H609" s="54">
        <v>5</v>
      </c>
      <c r="I609" s="54">
        <v>0</v>
      </c>
      <c r="J609" s="54">
        <v>0</v>
      </c>
      <c r="K609" s="54">
        <v>14</v>
      </c>
      <c r="L609" s="23"/>
      <c r="N609" t="s">
        <v>161</v>
      </c>
    </row>
    <row r="610" spans="2:14" x14ac:dyDescent="0.25">
      <c r="B610" t="s">
        <v>161</v>
      </c>
      <c r="C610" s="58" t="s">
        <v>1263</v>
      </c>
      <c r="D610" s="59" t="s">
        <v>152</v>
      </c>
      <c r="E610" s="57" t="s">
        <v>1147</v>
      </c>
      <c r="F610" s="54" t="s">
        <v>152</v>
      </c>
      <c r="G610" s="54" t="s">
        <v>147</v>
      </c>
      <c r="H610" s="54">
        <v>5</v>
      </c>
      <c r="I610" s="54">
        <v>0</v>
      </c>
      <c r="J610" s="54">
        <v>0</v>
      </c>
      <c r="K610" s="54">
        <v>14</v>
      </c>
      <c r="L610" s="23"/>
      <c r="N610" t="s">
        <v>161</v>
      </c>
    </row>
    <row r="611" spans="2:14" x14ac:dyDescent="0.25">
      <c r="B611" t="s">
        <v>161</v>
      </c>
      <c r="C611" s="58" t="s">
        <v>1264</v>
      </c>
      <c r="D611" s="59" t="s">
        <v>152</v>
      </c>
      <c r="E611" s="57" t="s">
        <v>1167</v>
      </c>
      <c r="F611" s="54" t="s">
        <v>152</v>
      </c>
      <c r="G611" s="54" t="s">
        <v>147</v>
      </c>
      <c r="H611" s="54">
        <v>5</v>
      </c>
      <c r="I611" s="54">
        <v>0</v>
      </c>
      <c r="J611" s="54">
        <v>0</v>
      </c>
      <c r="K611" s="54">
        <v>14</v>
      </c>
      <c r="L611" s="23"/>
      <c r="N611" t="s">
        <v>161</v>
      </c>
    </row>
    <row r="612" spans="2:14" x14ac:dyDescent="0.25">
      <c r="B612" t="s">
        <v>161</v>
      </c>
      <c r="C612" s="58" t="s">
        <v>1265</v>
      </c>
      <c r="D612" s="59" t="s">
        <v>152</v>
      </c>
      <c r="E612" s="57" t="s">
        <v>1169</v>
      </c>
      <c r="F612" s="54" t="s">
        <v>152</v>
      </c>
      <c r="G612" s="54" t="s">
        <v>147</v>
      </c>
      <c r="H612" s="54">
        <v>5</v>
      </c>
      <c r="I612" s="54">
        <v>0</v>
      </c>
      <c r="J612" s="54">
        <v>0</v>
      </c>
      <c r="K612" s="54">
        <v>14</v>
      </c>
      <c r="L612" s="23"/>
      <c r="N612" t="s">
        <v>161</v>
      </c>
    </row>
    <row r="613" spans="2:14" x14ac:dyDescent="0.25">
      <c r="B613" t="s">
        <v>161</v>
      </c>
      <c r="C613" s="58" t="s">
        <v>1266</v>
      </c>
      <c r="D613" s="59" t="s">
        <v>152</v>
      </c>
      <c r="E613" s="57" t="s">
        <v>883</v>
      </c>
      <c r="F613" s="54" t="s">
        <v>152</v>
      </c>
      <c r="G613" s="54" t="s">
        <v>147</v>
      </c>
      <c r="H613" s="54">
        <v>5</v>
      </c>
      <c r="I613" s="54">
        <v>0</v>
      </c>
      <c r="J613" s="54">
        <v>0</v>
      </c>
      <c r="K613" s="54">
        <v>14</v>
      </c>
      <c r="L613" s="23"/>
      <c r="N613" t="s">
        <v>161</v>
      </c>
    </row>
    <row r="614" spans="2:14" x14ac:dyDescent="0.25">
      <c r="B614" t="s">
        <v>161</v>
      </c>
      <c r="C614" s="58" t="s">
        <v>1267</v>
      </c>
      <c r="D614" s="59" t="s">
        <v>152</v>
      </c>
      <c r="E614" s="57" t="s">
        <v>885</v>
      </c>
      <c r="F614" s="54" t="s">
        <v>152</v>
      </c>
      <c r="G614" s="54" t="s">
        <v>147</v>
      </c>
      <c r="H614" s="54">
        <v>5</v>
      </c>
      <c r="I614" s="54">
        <v>0</v>
      </c>
      <c r="J614" s="54">
        <v>0</v>
      </c>
      <c r="K614" s="54">
        <v>14</v>
      </c>
      <c r="L614" s="23"/>
      <c r="N614" t="s">
        <v>161</v>
      </c>
    </row>
    <row r="615" spans="2:14" x14ac:dyDescent="0.25">
      <c r="B615" t="s">
        <v>161</v>
      </c>
      <c r="C615" s="58" t="s">
        <v>1268</v>
      </c>
      <c r="D615" s="59" t="s">
        <v>150</v>
      </c>
      <c r="E615" s="57" t="s">
        <v>222</v>
      </c>
      <c r="F615" s="54" t="s">
        <v>150</v>
      </c>
      <c r="G615" s="54" t="s">
        <v>164</v>
      </c>
      <c r="H615" s="54">
        <v>5</v>
      </c>
      <c r="I615" s="54">
        <v>0</v>
      </c>
      <c r="J615" s="54">
        <v>0</v>
      </c>
      <c r="K615" s="54">
        <v>14</v>
      </c>
      <c r="L615" s="23"/>
      <c r="N615" t="s">
        <v>161</v>
      </c>
    </row>
    <row r="616" spans="2:14" x14ac:dyDescent="0.25">
      <c r="B616" t="s">
        <v>161</v>
      </c>
      <c r="C616" s="58" t="s">
        <v>1269</v>
      </c>
      <c r="D616" s="59" t="s">
        <v>150</v>
      </c>
      <c r="E616" s="57" t="s">
        <v>224</v>
      </c>
      <c r="F616" s="54" t="s">
        <v>150</v>
      </c>
      <c r="G616" s="54" t="s">
        <v>164</v>
      </c>
      <c r="H616" s="54">
        <v>5</v>
      </c>
      <c r="I616" s="54">
        <v>0</v>
      </c>
      <c r="J616" s="54">
        <v>0</v>
      </c>
      <c r="K616" s="54">
        <v>14</v>
      </c>
      <c r="L616" s="23"/>
      <c r="N616" t="s">
        <v>161</v>
      </c>
    </row>
    <row r="617" spans="2:14" x14ac:dyDescent="0.25">
      <c r="B617" t="s">
        <v>161</v>
      </c>
      <c r="C617" s="58" t="s">
        <v>1270</v>
      </c>
      <c r="D617" s="59" t="s">
        <v>150</v>
      </c>
      <c r="E617" s="57" t="s">
        <v>1271</v>
      </c>
      <c r="F617" s="54" t="s">
        <v>150</v>
      </c>
      <c r="G617" s="54" t="s">
        <v>164</v>
      </c>
      <c r="H617" s="54">
        <v>5</v>
      </c>
      <c r="I617" s="54">
        <v>0</v>
      </c>
      <c r="J617" s="54">
        <v>16.5</v>
      </c>
      <c r="K617" s="54">
        <v>14</v>
      </c>
      <c r="L617" s="23"/>
      <c r="N617" t="s">
        <v>161</v>
      </c>
    </row>
    <row r="618" spans="2:14" x14ac:dyDescent="0.25">
      <c r="B618" t="s">
        <v>161</v>
      </c>
      <c r="C618" s="58" t="s">
        <v>1272</v>
      </c>
      <c r="D618" s="59" t="s">
        <v>150</v>
      </c>
      <c r="E618" s="57" t="s">
        <v>1273</v>
      </c>
      <c r="F618" s="54" t="s">
        <v>150</v>
      </c>
      <c r="G618" s="54" t="s">
        <v>164</v>
      </c>
      <c r="H618" s="54">
        <v>5</v>
      </c>
      <c r="I618" s="54">
        <v>0</v>
      </c>
      <c r="J618" s="54">
        <v>17.2</v>
      </c>
      <c r="K618" s="54">
        <v>14</v>
      </c>
      <c r="L618" s="23"/>
      <c r="N618" t="s">
        <v>161</v>
      </c>
    </row>
    <row r="619" spans="2:14" x14ac:dyDescent="0.25">
      <c r="B619" t="s">
        <v>161</v>
      </c>
      <c r="C619" s="58" t="s">
        <v>1274</v>
      </c>
      <c r="D619" s="59" t="s">
        <v>150</v>
      </c>
      <c r="E619" s="57" t="s">
        <v>184</v>
      </c>
      <c r="F619" s="54" t="s">
        <v>150</v>
      </c>
      <c r="G619" s="54" t="s">
        <v>164</v>
      </c>
      <c r="H619" s="54">
        <v>5</v>
      </c>
      <c r="I619" s="54">
        <v>0</v>
      </c>
      <c r="J619" s="54">
        <v>0</v>
      </c>
      <c r="K619" s="54">
        <v>14</v>
      </c>
      <c r="L619" s="23"/>
      <c r="N619" t="s">
        <v>161</v>
      </c>
    </row>
    <row r="620" spans="2:14" x14ac:dyDescent="0.25">
      <c r="B620" t="s">
        <v>161</v>
      </c>
      <c r="C620" s="58" t="s">
        <v>1275</v>
      </c>
      <c r="D620" s="59" t="s">
        <v>150</v>
      </c>
      <c r="E620" s="57" t="s">
        <v>186</v>
      </c>
      <c r="F620" s="54" t="s">
        <v>150</v>
      </c>
      <c r="G620" s="54" t="s">
        <v>164</v>
      </c>
      <c r="H620" s="54">
        <v>5</v>
      </c>
      <c r="I620" s="54">
        <v>0</v>
      </c>
      <c r="J620" s="54">
        <v>0</v>
      </c>
      <c r="K620" s="54">
        <v>14</v>
      </c>
      <c r="L620" s="23"/>
      <c r="N620" t="s">
        <v>161</v>
      </c>
    </row>
    <row r="621" spans="2:14" x14ac:dyDescent="0.25">
      <c r="B621" t="s">
        <v>161</v>
      </c>
      <c r="C621" s="58" t="s">
        <v>1276</v>
      </c>
      <c r="D621" s="59" t="s">
        <v>150</v>
      </c>
      <c r="E621" s="57" t="s">
        <v>180</v>
      </c>
      <c r="F621" s="54" t="s">
        <v>150</v>
      </c>
      <c r="G621" s="54" t="s">
        <v>164</v>
      </c>
      <c r="H621" s="54">
        <v>5</v>
      </c>
      <c r="I621" s="54">
        <v>0</v>
      </c>
      <c r="J621" s="54">
        <v>0</v>
      </c>
      <c r="K621" s="54">
        <v>14</v>
      </c>
      <c r="L621" s="23"/>
      <c r="N621" t="s">
        <v>161</v>
      </c>
    </row>
    <row r="622" spans="2:14" x14ac:dyDescent="0.25">
      <c r="B622" t="s">
        <v>161</v>
      </c>
      <c r="C622" s="58" t="s">
        <v>1277</v>
      </c>
      <c r="D622" s="59" t="s">
        <v>150</v>
      </c>
      <c r="E622" s="57" t="s">
        <v>182</v>
      </c>
      <c r="F622" s="54" t="s">
        <v>150</v>
      </c>
      <c r="G622" s="54" t="s">
        <v>164</v>
      </c>
      <c r="H622" s="54">
        <v>5</v>
      </c>
      <c r="I622" s="54">
        <v>0</v>
      </c>
      <c r="J622" s="54">
        <v>0</v>
      </c>
      <c r="K622" s="54">
        <v>14</v>
      </c>
      <c r="L622" s="23"/>
      <c r="N622" t="s">
        <v>161</v>
      </c>
    </row>
    <row r="623" spans="2:14" x14ac:dyDescent="0.25">
      <c r="B623" t="s">
        <v>161</v>
      </c>
      <c r="C623" s="58" t="s">
        <v>1278</v>
      </c>
      <c r="D623" s="59" t="s">
        <v>150</v>
      </c>
      <c r="E623" s="57" t="s">
        <v>1279</v>
      </c>
      <c r="F623" s="54" t="s">
        <v>150</v>
      </c>
      <c r="G623" s="54" t="s">
        <v>164</v>
      </c>
      <c r="H623" s="54">
        <v>5</v>
      </c>
      <c r="I623" s="54">
        <v>0</v>
      </c>
      <c r="J623" s="54">
        <v>0</v>
      </c>
      <c r="K623" s="54">
        <v>14</v>
      </c>
      <c r="L623" s="23"/>
      <c r="N623" t="s">
        <v>161</v>
      </c>
    </row>
    <row r="624" spans="2:14" x14ac:dyDescent="0.25">
      <c r="B624" t="s">
        <v>161</v>
      </c>
      <c r="C624" s="58" t="s">
        <v>1280</v>
      </c>
      <c r="D624" s="59" t="s">
        <v>150</v>
      </c>
      <c r="E624" s="57" t="s">
        <v>1281</v>
      </c>
      <c r="F624" s="54" t="s">
        <v>150</v>
      </c>
      <c r="G624" s="54" t="s">
        <v>164</v>
      </c>
      <c r="H624" s="54">
        <v>5</v>
      </c>
      <c r="I624" s="54">
        <v>0</v>
      </c>
      <c r="J624" s="54">
        <v>0</v>
      </c>
      <c r="K624" s="54">
        <v>14</v>
      </c>
      <c r="L624" s="23"/>
      <c r="N624" t="s">
        <v>161</v>
      </c>
    </row>
    <row r="625" spans="2:14" x14ac:dyDescent="0.25">
      <c r="B625" t="s">
        <v>161</v>
      </c>
      <c r="C625" s="58" t="s">
        <v>1282</v>
      </c>
      <c r="D625" s="59" t="s">
        <v>150</v>
      </c>
      <c r="E625" s="57" t="s">
        <v>1283</v>
      </c>
      <c r="F625" s="54" t="s">
        <v>150</v>
      </c>
      <c r="G625" s="54" t="s">
        <v>164</v>
      </c>
      <c r="H625" s="54">
        <v>5</v>
      </c>
      <c r="I625" s="54">
        <v>0</v>
      </c>
      <c r="J625" s="54">
        <v>0</v>
      </c>
      <c r="K625" s="54">
        <v>14</v>
      </c>
      <c r="L625" s="23"/>
      <c r="N625" t="s">
        <v>161</v>
      </c>
    </row>
    <row r="626" spans="2:14" x14ac:dyDescent="0.25">
      <c r="B626" t="s">
        <v>161</v>
      </c>
      <c r="C626" s="58" t="s">
        <v>1284</v>
      </c>
      <c r="D626" s="59" t="s">
        <v>150</v>
      </c>
      <c r="E626" s="57" t="s">
        <v>1285</v>
      </c>
      <c r="F626" s="54" t="s">
        <v>150</v>
      </c>
      <c r="G626" s="54" t="s">
        <v>164</v>
      </c>
      <c r="H626" s="54">
        <v>5</v>
      </c>
      <c r="I626" s="54">
        <v>0</v>
      </c>
      <c r="J626" s="54">
        <v>0</v>
      </c>
      <c r="K626" s="54">
        <v>14</v>
      </c>
      <c r="L626" s="23"/>
      <c r="N626" t="s">
        <v>161</v>
      </c>
    </row>
    <row r="627" spans="2:14" x14ac:dyDescent="0.25">
      <c r="B627" t="s">
        <v>161</v>
      </c>
      <c r="C627" s="58" t="s">
        <v>1286</v>
      </c>
      <c r="D627" s="59" t="s">
        <v>150</v>
      </c>
      <c r="E627" s="57" t="s">
        <v>172</v>
      </c>
      <c r="F627" s="54" t="s">
        <v>150</v>
      </c>
      <c r="G627" s="54" t="s">
        <v>164</v>
      </c>
      <c r="H627" s="54">
        <v>5</v>
      </c>
      <c r="I627" s="54">
        <v>0</v>
      </c>
      <c r="J627" s="54">
        <v>0</v>
      </c>
      <c r="K627" s="54">
        <v>14</v>
      </c>
      <c r="L627" s="23"/>
      <c r="N627" t="s">
        <v>161</v>
      </c>
    </row>
    <row r="628" spans="2:14" x14ac:dyDescent="0.25">
      <c r="B628" t="s">
        <v>161</v>
      </c>
      <c r="C628" s="58" t="s">
        <v>1287</v>
      </c>
      <c r="D628" s="59" t="s">
        <v>150</v>
      </c>
      <c r="E628" s="57" t="s">
        <v>174</v>
      </c>
      <c r="F628" s="54" t="s">
        <v>150</v>
      </c>
      <c r="G628" s="54" t="s">
        <v>164</v>
      </c>
      <c r="H628" s="54">
        <v>5</v>
      </c>
      <c r="I628" s="54">
        <v>0</v>
      </c>
      <c r="J628" s="54">
        <v>0</v>
      </c>
      <c r="K628" s="54">
        <v>14</v>
      </c>
      <c r="L628" s="23"/>
      <c r="N628" t="s">
        <v>161</v>
      </c>
    </row>
    <row r="629" spans="2:14" x14ac:dyDescent="0.25">
      <c r="B629" t="s">
        <v>161</v>
      </c>
      <c r="C629" s="58" t="s">
        <v>1288</v>
      </c>
      <c r="D629" s="59" t="s">
        <v>150</v>
      </c>
      <c r="E629" s="57" t="s">
        <v>188</v>
      </c>
      <c r="F629" s="54" t="s">
        <v>150</v>
      </c>
      <c r="G629" s="54" t="s">
        <v>164</v>
      </c>
      <c r="H629" s="54">
        <v>5</v>
      </c>
      <c r="I629" s="54">
        <v>0</v>
      </c>
      <c r="J629" s="54">
        <v>0</v>
      </c>
      <c r="K629" s="54">
        <v>14</v>
      </c>
      <c r="L629" s="23"/>
      <c r="N629" t="s">
        <v>161</v>
      </c>
    </row>
    <row r="630" spans="2:14" x14ac:dyDescent="0.25">
      <c r="B630" t="s">
        <v>161</v>
      </c>
      <c r="C630" s="58" t="s">
        <v>1289</v>
      </c>
      <c r="D630" s="59" t="s">
        <v>150</v>
      </c>
      <c r="E630" s="57" t="s">
        <v>190</v>
      </c>
      <c r="F630" s="54" t="s">
        <v>150</v>
      </c>
      <c r="G630" s="54" t="s">
        <v>164</v>
      </c>
      <c r="H630" s="54">
        <v>5</v>
      </c>
      <c r="I630" s="54">
        <v>0</v>
      </c>
      <c r="J630" s="54">
        <v>0</v>
      </c>
      <c r="K630" s="54">
        <v>14</v>
      </c>
      <c r="L630" s="23"/>
      <c r="N630" t="s">
        <v>161</v>
      </c>
    </row>
    <row r="631" spans="2:14" x14ac:dyDescent="0.25">
      <c r="B631" t="s">
        <v>161</v>
      </c>
      <c r="C631" s="58" t="s">
        <v>1290</v>
      </c>
      <c r="D631" s="59" t="s">
        <v>150</v>
      </c>
      <c r="E631" s="57" t="s">
        <v>1291</v>
      </c>
      <c r="F631" s="54" t="s">
        <v>150</v>
      </c>
      <c r="G631" s="54" t="s">
        <v>164</v>
      </c>
      <c r="H631" s="54">
        <v>5</v>
      </c>
      <c r="I631" s="54">
        <v>0</v>
      </c>
      <c r="J631" s="54">
        <v>0</v>
      </c>
      <c r="K631" s="54">
        <v>14</v>
      </c>
      <c r="L631" s="23"/>
      <c r="N631" t="s">
        <v>161</v>
      </c>
    </row>
    <row r="632" spans="2:14" x14ac:dyDescent="0.25">
      <c r="B632" t="s">
        <v>161</v>
      </c>
      <c r="C632" s="58" t="s">
        <v>1292</v>
      </c>
      <c r="D632" s="59" t="s">
        <v>150</v>
      </c>
      <c r="E632" s="57" t="s">
        <v>1293</v>
      </c>
      <c r="F632" s="54" t="s">
        <v>150</v>
      </c>
      <c r="G632" s="54" t="s">
        <v>164</v>
      </c>
      <c r="H632" s="54">
        <v>5</v>
      </c>
      <c r="I632" s="54">
        <v>0</v>
      </c>
      <c r="J632" s="54">
        <v>0</v>
      </c>
      <c r="K632" s="54">
        <v>14</v>
      </c>
      <c r="L632" s="23"/>
      <c r="N632" t="s">
        <v>161</v>
      </c>
    </row>
    <row r="633" spans="2:14" x14ac:dyDescent="0.25">
      <c r="B633" t="s">
        <v>161</v>
      </c>
      <c r="C633" s="58" t="s">
        <v>1294</v>
      </c>
      <c r="D633" s="59" t="s">
        <v>150</v>
      </c>
      <c r="E633" s="57" t="s">
        <v>200</v>
      </c>
      <c r="F633" s="54" t="s">
        <v>150</v>
      </c>
      <c r="G633" s="54" t="s">
        <v>164</v>
      </c>
      <c r="H633" s="54">
        <v>5</v>
      </c>
      <c r="I633" s="54">
        <v>0</v>
      </c>
      <c r="J633" s="54">
        <v>0</v>
      </c>
      <c r="K633" s="54">
        <v>14</v>
      </c>
      <c r="L633" s="23"/>
      <c r="N633" t="s">
        <v>161</v>
      </c>
    </row>
    <row r="634" spans="2:14" x14ac:dyDescent="0.25">
      <c r="B634" t="s">
        <v>161</v>
      </c>
      <c r="C634" s="58" t="s">
        <v>1295</v>
      </c>
      <c r="D634" s="59" t="s">
        <v>150</v>
      </c>
      <c r="E634" s="57" t="s">
        <v>202</v>
      </c>
      <c r="F634" s="54" t="s">
        <v>150</v>
      </c>
      <c r="G634" s="54" t="s">
        <v>164</v>
      </c>
      <c r="H634" s="54">
        <v>5</v>
      </c>
      <c r="I634" s="54">
        <v>0</v>
      </c>
      <c r="J634" s="54">
        <v>0</v>
      </c>
      <c r="K634" s="54">
        <v>14</v>
      </c>
      <c r="L634" s="23"/>
      <c r="N634" t="s">
        <v>161</v>
      </c>
    </row>
    <row r="635" spans="2:14" x14ac:dyDescent="0.25">
      <c r="B635" t="s">
        <v>161</v>
      </c>
      <c r="C635" s="58" t="s">
        <v>1296</v>
      </c>
      <c r="D635" s="59" t="s">
        <v>150</v>
      </c>
      <c r="E635" s="57" t="s">
        <v>1297</v>
      </c>
      <c r="F635" s="54" t="s">
        <v>150</v>
      </c>
      <c r="G635" s="54" t="s">
        <v>164</v>
      </c>
      <c r="H635" s="54">
        <v>5</v>
      </c>
      <c r="I635" s="54">
        <v>0</v>
      </c>
      <c r="J635" s="54">
        <v>0</v>
      </c>
      <c r="K635" s="54">
        <v>14</v>
      </c>
      <c r="L635" s="23"/>
      <c r="N635" t="s">
        <v>161</v>
      </c>
    </row>
    <row r="636" spans="2:14" x14ac:dyDescent="0.25">
      <c r="B636" t="s">
        <v>161</v>
      </c>
      <c r="C636" s="58" t="s">
        <v>1298</v>
      </c>
      <c r="D636" s="59" t="s">
        <v>150</v>
      </c>
      <c r="E636" s="57" t="s">
        <v>1299</v>
      </c>
      <c r="F636" s="54" t="s">
        <v>150</v>
      </c>
      <c r="G636" s="54" t="s">
        <v>164</v>
      </c>
      <c r="H636" s="54">
        <v>5</v>
      </c>
      <c r="I636" s="54">
        <v>0</v>
      </c>
      <c r="J636" s="54">
        <v>0</v>
      </c>
      <c r="K636" s="54">
        <v>14</v>
      </c>
      <c r="L636" s="23"/>
      <c r="N636" t="s">
        <v>161</v>
      </c>
    </row>
    <row r="637" spans="2:14" x14ac:dyDescent="0.25">
      <c r="B637" t="s">
        <v>161</v>
      </c>
      <c r="C637" s="58" t="s">
        <v>1300</v>
      </c>
      <c r="D637" s="59" t="s">
        <v>150</v>
      </c>
      <c r="E637" s="57" t="s">
        <v>1301</v>
      </c>
      <c r="F637" s="54" t="s">
        <v>150</v>
      </c>
      <c r="G637" s="54" t="s">
        <v>164</v>
      </c>
      <c r="H637" s="54">
        <v>5</v>
      </c>
      <c r="I637" s="54">
        <v>0</v>
      </c>
      <c r="J637" s="54">
        <v>0</v>
      </c>
      <c r="K637" s="54">
        <v>14</v>
      </c>
      <c r="L637" s="23"/>
      <c r="N637" t="s">
        <v>161</v>
      </c>
    </row>
    <row r="638" spans="2:14" x14ac:dyDescent="0.25">
      <c r="B638" t="s">
        <v>161</v>
      </c>
      <c r="C638" s="58" t="s">
        <v>1302</v>
      </c>
      <c r="D638" s="59" t="s">
        <v>150</v>
      </c>
      <c r="E638" s="57" t="s">
        <v>356</v>
      </c>
      <c r="F638" s="54" t="s">
        <v>150</v>
      </c>
      <c r="G638" s="54" t="s">
        <v>164</v>
      </c>
      <c r="H638" s="54">
        <v>5</v>
      </c>
      <c r="I638" s="54">
        <v>0</v>
      </c>
      <c r="J638" s="54">
        <v>0</v>
      </c>
      <c r="K638" s="54">
        <v>14</v>
      </c>
      <c r="L638" s="23"/>
      <c r="N638" t="s">
        <v>161</v>
      </c>
    </row>
    <row r="639" spans="2:14" x14ac:dyDescent="0.25">
      <c r="B639" t="s">
        <v>161</v>
      </c>
      <c r="C639" s="58" t="s">
        <v>1303</v>
      </c>
      <c r="D639" s="59" t="s">
        <v>150</v>
      </c>
      <c r="E639" s="57" t="s">
        <v>358</v>
      </c>
      <c r="F639" s="54" t="s">
        <v>150</v>
      </c>
      <c r="G639" s="54" t="s">
        <v>164</v>
      </c>
      <c r="H639" s="54">
        <v>5</v>
      </c>
      <c r="I639" s="54">
        <v>0</v>
      </c>
      <c r="J639" s="54">
        <v>0</v>
      </c>
      <c r="K639" s="54">
        <v>14</v>
      </c>
      <c r="L639" s="23"/>
      <c r="N639" t="s">
        <v>161</v>
      </c>
    </row>
    <row r="640" spans="2:14" x14ac:dyDescent="0.25">
      <c r="B640" t="s">
        <v>161</v>
      </c>
      <c r="C640" s="58" t="s">
        <v>1304</v>
      </c>
      <c r="D640" s="59" t="s">
        <v>150</v>
      </c>
      <c r="E640" s="57" t="s">
        <v>1305</v>
      </c>
      <c r="F640" s="54" t="s">
        <v>150</v>
      </c>
      <c r="G640" s="54" t="s">
        <v>164</v>
      </c>
      <c r="H640" s="54">
        <v>5</v>
      </c>
      <c r="I640" s="54">
        <v>0</v>
      </c>
      <c r="J640" s="54">
        <v>0</v>
      </c>
      <c r="K640" s="54">
        <v>14</v>
      </c>
      <c r="L640" s="23"/>
      <c r="N640" t="s">
        <v>161</v>
      </c>
    </row>
    <row r="641" spans="2:14" x14ac:dyDescent="0.25">
      <c r="B641" t="s">
        <v>161</v>
      </c>
      <c r="C641" s="58" t="s">
        <v>1306</v>
      </c>
      <c r="D641" s="59" t="s">
        <v>150</v>
      </c>
      <c r="E641" s="57" t="s">
        <v>1307</v>
      </c>
      <c r="F641" s="54" t="s">
        <v>150</v>
      </c>
      <c r="G641" s="54" t="s">
        <v>164</v>
      </c>
      <c r="H641" s="54">
        <v>5</v>
      </c>
      <c r="I641" s="54">
        <v>0</v>
      </c>
      <c r="J641" s="54">
        <v>0</v>
      </c>
      <c r="K641" s="54">
        <v>14</v>
      </c>
      <c r="L641" s="23"/>
      <c r="N641" t="s">
        <v>161</v>
      </c>
    </row>
    <row r="642" spans="2:14" x14ac:dyDescent="0.25">
      <c r="B642" t="s">
        <v>161</v>
      </c>
      <c r="C642" s="58" t="s">
        <v>1308</v>
      </c>
      <c r="D642" s="59" t="s">
        <v>150</v>
      </c>
      <c r="E642" s="57" t="s">
        <v>1309</v>
      </c>
      <c r="F642" s="54" t="s">
        <v>150</v>
      </c>
      <c r="G642" s="54" t="s">
        <v>164</v>
      </c>
      <c r="H642" s="54">
        <v>5</v>
      </c>
      <c r="I642" s="54">
        <v>0</v>
      </c>
      <c r="J642" s="54">
        <v>0</v>
      </c>
      <c r="K642" s="54">
        <v>14</v>
      </c>
      <c r="L642" s="23"/>
      <c r="N642" t="s">
        <v>161</v>
      </c>
    </row>
    <row r="643" spans="2:14" x14ac:dyDescent="0.25">
      <c r="B643" t="s">
        <v>161</v>
      </c>
      <c r="C643" s="58" t="s">
        <v>1310</v>
      </c>
      <c r="D643" s="59" t="s">
        <v>150</v>
      </c>
      <c r="E643" s="57" t="s">
        <v>1311</v>
      </c>
      <c r="F643" s="54" t="s">
        <v>150</v>
      </c>
      <c r="G643" s="54" t="s">
        <v>164</v>
      </c>
      <c r="H643" s="54">
        <v>5</v>
      </c>
      <c r="I643" s="54">
        <v>0</v>
      </c>
      <c r="J643" s="54">
        <v>0</v>
      </c>
      <c r="K643" s="54">
        <v>14</v>
      </c>
      <c r="L643" s="23"/>
      <c r="N643" t="s">
        <v>161</v>
      </c>
    </row>
    <row r="644" spans="2:14" x14ac:dyDescent="0.25">
      <c r="B644" t="s">
        <v>161</v>
      </c>
      <c r="C644" s="58" t="s">
        <v>1312</v>
      </c>
      <c r="D644" s="59" t="s">
        <v>150</v>
      </c>
      <c r="E644" s="57" t="s">
        <v>1313</v>
      </c>
      <c r="F644" s="54" t="s">
        <v>150</v>
      </c>
      <c r="G644" s="54" t="s">
        <v>164</v>
      </c>
      <c r="H644" s="54">
        <v>5</v>
      </c>
      <c r="I644" s="54">
        <v>0</v>
      </c>
      <c r="J644" s="54">
        <v>0</v>
      </c>
      <c r="K644" s="54">
        <v>14</v>
      </c>
      <c r="L644" s="23"/>
      <c r="N644" t="s">
        <v>161</v>
      </c>
    </row>
    <row r="645" spans="2:14" x14ac:dyDescent="0.25">
      <c r="B645" t="s">
        <v>161</v>
      </c>
      <c r="C645" s="58" t="s">
        <v>1314</v>
      </c>
      <c r="D645" s="59" t="s">
        <v>150</v>
      </c>
      <c r="E645" s="57" t="s">
        <v>1315</v>
      </c>
      <c r="F645" s="54" t="s">
        <v>150</v>
      </c>
      <c r="G645" s="54" t="s">
        <v>164</v>
      </c>
      <c r="H645" s="54">
        <v>5</v>
      </c>
      <c r="I645" s="54">
        <v>0</v>
      </c>
      <c r="J645" s="54">
        <v>12.7</v>
      </c>
      <c r="K645" s="54">
        <v>14</v>
      </c>
      <c r="L645" s="23"/>
      <c r="N645" t="s">
        <v>161</v>
      </c>
    </row>
    <row r="646" spans="2:14" x14ac:dyDescent="0.25">
      <c r="B646" t="s">
        <v>161</v>
      </c>
      <c r="C646" s="58" t="s">
        <v>1316</v>
      </c>
      <c r="D646" s="59" t="s">
        <v>150</v>
      </c>
      <c r="E646" s="57" t="s">
        <v>1317</v>
      </c>
      <c r="F646" s="54" t="s">
        <v>150</v>
      </c>
      <c r="G646" s="54" t="s">
        <v>164</v>
      </c>
      <c r="H646" s="54">
        <v>5</v>
      </c>
      <c r="I646" s="54">
        <v>0</v>
      </c>
      <c r="J646" s="54">
        <v>21.3</v>
      </c>
      <c r="K646" s="54">
        <v>14</v>
      </c>
      <c r="L646" s="23"/>
      <c r="N646" t="s">
        <v>161</v>
      </c>
    </row>
    <row r="647" spans="2:14" x14ac:dyDescent="0.25">
      <c r="B647" t="s">
        <v>161</v>
      </c>
      <c r="C647" s="58" t="s">
        <v>1318</v>
      </c>
      <c r="D647" s="59" t="s">
        <v>150</v>
      </c>
      <c r="E647" s="57" t="s">
        <v>292</v>
      </c>
      <c r="F647" s="54" t="s">
        <v>150</v>
      </c>
      <c r="G647" s="54" t="s">
        <v>164</v>
      </c>
      <c r="H647" s="54">
        <v>5</v>
      </c>
      <c r="I647" s="54">
        <v>0</v>
      </c>
      <c r="J647" s="54">
        <v>0</v>
      </c>
      <c r="K647" s="54">
        <v>14</v>
      </c>
      <c r="L647" s="23"/>
      <c r="N647" t="s">
        <v>161</v>
      </c>
    </row>
    <row r="648" spans="2:14" x14ac:dyDescent="0.25">
      <c r="B648" t="s">
        <v>161</v>
      </c>
      <c r="C648" s="58" t="s">
        <v>1319</v>
      </c>
      <c r="D648" s="59" t="s">
        <v>150</v>
      </c>
      <c r="E648" s="57" t="s">
        <v>294</v>
      </c>
      <c r="F648" s="54" t="s">
        <v>150</v>
      </c>
      <c r="G648" s="54" t="s">
        <v>164</v>
      </c>
      <c r="H648" s="54">
        <v>5</v>
      </c>
      <c r="I648" s="54">
        <v>0</v>
      </c>
      <c r="J648" s="54">
        <v>0</v>
      </c>
      <c r="K648" s="54">
        <v>14</v>
      </c>
      <c r="L648" s="23"/>
      <c r="N648" t="s">
        <v>161</v>
      </c>
    </row>
    <row r="649" spans="2:14" x14ac:dyDescent="0.25">
      <c r="B649" t="s">
        <v>161</v>
      </c>
      <c r="C649" s="58" t="s">
        <v>1320</v>
      </c>
      <c r="D649" s="59" t="s">
        <v>150</v>
      </c>
      <c r="E649" s="57" t="s">
        <v>250</v>
      </c>
      <c r="F649" s="54" t="s">
        <v>150</v>
      </c>
      <c r="G649" s="54" t="s">
        <v>164</v>
      </c>
      <c r="H649" s="54">
        <v>5</v>
      </c>
      <c r="I649" s="54">
        <v>0</v>
      </c>
      <c r="J649" s="54">
        <v>0</v>
      </c>
      <c r="K649" s="54">
        <v>14</v>
      </c>
      <c r="L649" s="23"/>
      <c r="N649" t="s">
        <v>161</v>
      </c>
    </row>
    <row r="650" spans="2:14" x14ac:dyDescent="0.25">
      <c r="B650" t="s">
        <v>161</v>
      </c>
      <c r="C650" s="58" t="s">
        <v>1321</v>
      </c>
      <c r="D650" s="59" t="s">
        <v>150</v>
      </c>
      <c r="E650" s="57" t="s">
        <v>252</v>
      </c>
      <c r="F650" s="54" t="s">
        <v>150</v>
      </c>
      <c r="G650" s="54" t="s">
        <v>164</v>
      </c>
      <c r="H650" s="54">
        <v>5</v>
      </c>
      <c r="I650" s="54">
        <v>0</v>
      </c>
      <c r="J650" s="54">
        <v>0</v>
      </c>
      <c r="K650" s="54">
        <v>14</v>
      </c>
      <c r="L650" s="23"/>
      <c r="N650" t="s">
        <v>161</v>
      </c>
    </row>
    <row r="651" spans="2:14" x14ac:dyDescent="0.25">
      <c r="B651" t="s">
        <v>161</v>
      </c>
      <c r="C651" s="58" t="s">
        <v>1322</v>
      </c>
      <c r="D651" s="59" t="s">
        <v>150</v>
      </c>
      <c r="E651" s="57" t="s">
        <v>250</v>
      </c>
      <c r="F651" s="54" t="s">
        <v>150</v>
      </c>
      <c r="G651" s="54" t="s">
        <v>164</v>
      </c>
      <c r="H651" s="54">
        <v>5</v>
      </c>
      <c r="I651" s="54">
        <v>0</v>
      </c>
      <c r="J651" s="54">
        <v>0</v>
      </c>
      <c r="K651" s="54">
        <v>14</v>
      </c>
      <c r="L651" s="23"/>
      <c r="N651" t="s">
        <v>161</v>
      </c>
    </row>
    <row r="652" spans="2:14" x14ac:dyDescent="0.25">
      <c r="B652" t="s">
        <v>161</v>
      </c>
      <c r="C652" s="58" t="s">
        <v>1323</v>
      </c>
      <c r="D652" s="59" t="s">
        <v>150</v>
      </c>
      <c r="E652" s="57" t="s">
        <v>252</v>
      </c>
      <c r="F652" s="54" t="s">
        <v>150</v>
      </c>
      <c r="G652" s="54" t="s">
        <v>164</v>
      </c>
      <c r="H652" s="54">
        <v>5</v>
      </c>
      <c r="I652" s="54">
        <v>0</v>
      </c>
      <c r="J652" s="54">
        <v>0</v>
      </c>
      <c r="K652" s="54">
        <v>14</v>
      </c>
      <c r="L652" s="23"/>
      <c r="N652" t="s">
        <v>161</v>
      </c>
    </row>
    <row r="653" spans="2:14" x14ac:dyDescent="0.25">
      <c r="B653" t="s">
        <v>161</v>
      </c>
      <c r="C653" s="58" t="s">
        <v>1324</v>
      </c>
      <c r="D653" s="59" t="s">
        <v>150</v>
      </c>
      <c r="E653" s="57" t="s">
        <v>288</v>
      </c>
      <c r="F653" s="54" t="s">
        <v>150</v>
      </c>
      <c r="G653" s="54" t="s">
        <v>164</v>
      </c>
      <c r="H653" s="54">
        <v>5</v>
      </c>
      <c r="I653" s="54">
        <v>0</v>
      </c>
      <c r="J653" s="54">
        <v>0</v>
      </c>
      <c r="K653" s="54">
        <v>14</v>
      </c>
      <c r="L653" s="23"/>
      <c r="N653" t="s">
        <v>161</v>
      </c>
    </row>
    <row r="654" spans="2:14" x14ac:dyDescent="0.25">
      <c r="B654" t="s">
        <v>161</v>
      </c>
      <c r="C654" s="58" t="s">
        <v>1325</v>
      </c>
      <c r="D654" s="59" t="s">
        <v>150</v>
      </c>
      <c r="E654" s="57" t="s">
        <v>304</v>
      </c>
      <c r="F654" s="54" t="s">
        <v>150</v>
      </c>
      <c r="G654" s="54" t="s">
        <v>164</v>
      </c>
      <c r="H654" s="54">
        <v>5</v>
      </c>
      <c r="I654" s="54">
        <v>0</v>
      </c>
      <c r="J654" s="54">
        <v>0</v>
      </c>
      <c r="K654" s="54">
        <v>14</v>
      </c>
      <c r="L654" s="23"/>
      <c r="N654" t="s">
        <v>161</v>
      </c>
    </row>
    <row r="655" spans="2:14" x14ac:dyDescent="0.25">
      <c r="B655" t="s">
        <v>161</v>
      </c>
      <c r="C655" s="58" t="s">
        <v>1326</v>
      </c>
      <c r="D655" s="59" t="s">
        <v>150</v>
      </c>
      <c r="E655" s="57" t="s">
        <v>306</v>
      </c>
      <c r="F655" s="54" t="s">
        <v>150</v>
      </c>
      <c r="G655" s="54" t="s">
        <v>164</v>
      </c>
      <c r="H655" s="54">
        <v>5</v>
      </c>
      <c r="I655" s="54">
        <v>0</v>
      </c>
      <c r="J655" s="54">
        <v>0</v>
      </c>
      <c r="K655" s="54">
        <v>14</v>
      </c>
      <c r="L655" s="23"/>
      <c r="N655" t="s">
        <v>161</v>
      </c>
    </row>
    <row r="656" spans="2:14" x14ac:dyDescent="0.25">
      <c r="B656" t="s">
        <v>161</v>
      </c>
      <c r="C656" s="58" t="s">
        <v>1327</v>
      </c>
      <c r="D656" s="59" t="s">
        <v>150</v>
      </c>
      <c r="E656" s="57" t="s">
        <v>290</v>
      </c>
      <c r="F656" s="54" t="s">
        <v>150</v>
      </c>
      <c r="G656" s="54" t="s">
        <v>164</v>
      </c>
      <c r="H656" s="54">
        <v>5</v>
      </c>
      <c r="I656" s="54">
        <v>0</v>
      </c>
      <c r="J656" s="54">
        <v>0</v>
      </c>
      <c r="K656" s="54">
        <v>14</v>
      </c>
      <c r="L656" s="23"/>
      <c r="N656" t="s">
        <v>161</v>
      </c>
    </row>
    <row r="657" spans="2:14" x14ac:dyDescent="0.25">
      <c r="B657" t="s">
        <v>161</v>
      </c>
      <c r="C657" s="58" t="s">
        <v>1328</v>
      </c>
      <c r="D657" s="59" t="s">
        <v>150</v>
      </c>
      <c r="E657" s="57" t="s">
        <v>1329</v>
      </c>
      <c r="F657" s="54" t="s">
        <v>150</v>
      </c>
      <c r="G657" s="54" t="s">
        <v>164</v>
      </c>
      <c r="H657" s="54">
        <v>5</v>
      </c>
      <c r="I657" s="54">
        <v>0</v>
      </c>
      <c r="J657" s="54">
        <v>0</v>
      </c>
      <c r="K657" s="54">
        <v>14</v>
      </c>
      <c r="L657" s="23"/>
      <c r="N657" t="s">
        <v>161</v>
      </c>
    </row>
    <row r="658" spans="2:14" x14ac:dyDescent="0.25">
      <c r="B658" t="s">
        <v>161</v>
      </c>
      <c r="C658" s="58" t="s">
        <v>1330</v>
      </c>
      <c r="D658" s="59" t="s">
        <v>150</v>
      </c>
      <c r="E658" s="57" t="s">
        <v>1331</v>
      </c>
      <c r="F658" s="54" t="s">
        <v>150</v>
      </c>
      <c r="G658" s="54" t="s">
        <v>164</v>
      </c>
      <c r="H658" s="54">
        <v>5</v>
      </c>
      <c r="I658" s="54">
        <v>0</v>
      </c>
      <c r="J658" s="54">
        <v>0</v>
      </c>
      <c r="K658" s="54">
        <v>14</v>
      </c>
      <c r="L658" s="23"/>
      <c r="N658" t="s">
        <v>161</v>
      </c>
    </row>
    <row r="659" spans="2:14" x14ac:dyDescent="0.25">
      <c r="B659" t="s">
        <v>161</v>
      </c>
      <c r="C659" s="58" t="s">
        <v>1332</v>
      </c>
      <c r="D659" s="59" t="s">
        <v>150</v>
      </c>
      <c r="E659" s="57" t="s">
        <v>1333</v>
      </c>
      <c r="F659" s="54" t="s">
        <v>150</v>
      </c>
      <c r="G659" s="54" t="s">
        <v>164</v>
      </c>
      <c r="H659" s="54">
        <v>5</v>
      </c>
      <c r="I659" s="54">
        <v>0</v>
      </c>
      <c r="J659" s="54">
        <v>0</v>
      </c>
      <c r="K659" s="54">
        <v>14</v>
      </c>
      <c r="L659" s="23"/>
      <c r="N659" t="s">
        <v>161</v>
      </c>
    </row>
    <row r="660" spans="2:14" x14ac:dyDescent="0.25">
      <c r="B660" t="s">
        <v>161</v>
      </c>
      <c r="C660" s="58" t="s">
        <v>1334</v>
      </c>
      <c r="D660" s="59" t="s">
        <v>150</v>
      </c>
      <c r="E660" s="57" t="s">
        <v>1335</v>
      </c>
      <c r="F660" s="54" t="s">
        <v>150</v>
      </c>
      <c r="G660" s="54" t="s">
        <v>164</v>
      </c>
      <c r="H660" s="54">
        <v>5</v>
      </c>
      <c r="I660" s="54">
        <v>0</v>
      </c>
      <c r="J660" s="54">
        <v>0</v>
      </c>
      <c r="K660" s="54">
        <v>14</v>
      </c>
      <c r="L660" s="23"/>
      <c r="N660" t="s">
        <v>161</v>
      </c>
    </row>
    <row r="661" spans="2:14" x14ac:dyDescent="0.25">
      <c r="B661" t="s">
        <v>161</v>
      </c>
      <c r="C661" s="58" t="s">
        <v>1336</v>
      </c>
      <c r="D661" s="59" t="s">
        <v>150</v>
      </c>
      <c r="E661" s="57" t="s">
        <v>1337</v>
      </c>
      <c r="F661" s="54" t="s">
        <v>150</v>
      </c>
      <c r="G661" s="54" t="s">
        <v>164</v>
      </c>
      <c r="H661" s="54">
        <v>5</v>
      </c>
      <c r="I661" s="54">
        <v>0</v>
      </c>
      <c r="J661" s="54">
        <v>0</v>
      </c>
      <c r="K661" s="54">
        <v>14</v>
      </c>
      <c r="L661" s="23"/>
      <c r="N661" t="s">
        <v>161</v>
      </c>
    </row>
    <row r="662" spans="2:14" x14ac:dyDescent="0.25">
      <c r="B662" t="s">
        <v>161</v>
      </c>
      <c r="C662" s="58" t="s">
        <v>1338</v>
      </c>
      <c r="D662" s="59" t="s">
        <v>150</v>
      </c>
      <c r="E662" s="57" t="s">
        <v>1339</v>
      </c>
      <c r="F662" s="54" t="s">
        <v>150</v>
      </c>
      <c r="G662" s="54" t="s">
        <v>164</v>
      </c>
      <c r="H662" s="54">
        <v>5</v>
      </c>
      <c r="I662" s="54">
        <v>0</v>
      </c>
      <c r="J662" s="54">
        <v>0</v>
      </c>
      <c r="K662" s="54">
        <v>14</v>
      </c>
      <c r="L662" s="23"/>
      <c r="N662" t="s">
        <v>161</v>
      </c>
    </row>
    <row r="663" spans="2:14" x14ac:dyDescent="0.25">
      <c r="B663" t="s">
        <v>161</v>
      </c>
      <c r="C663" s="58" t="s">
        <v>1340</v>
      </c>
      <c r="D663" s="59" t="s">
        <v>150</v>
      </c>
      <c r="E663" s="57" t="s">
        <v>1341</v>
      </c>
      <c r="F663" s="54" t="s">
        <v>150</v>
      </c>
      <c r="G663" s="54" t="s">
        <v>164</v>
      </c>
      <c r="H663" s="54">
        <v>5</v>
      </c>
      <c r="I663" s="54">
        <v>0</v>
      </c>
      <c r="J663" s="54">
        <v>0</v>
      </c>
      <c r="K663" s="54">
        <v>14</v>
      </c>
      <c r="L663" s="23"/>
      <c r="N663" t="s">
        <v>161</v>
      </c>
    </row>
    <row r="664" spans="2:14" x14ac:dyDescent="0.25">
      <c r="B664" t="s">
        <v>161</v>
      </c>
      <c r="C664" s="58" t="s">
        <v>1342</v>
      </c>
      <c r="D664" s="59" t="s">
        <v>150</v>
      </c>
      <c r="E664" s="57" t="s">
        <v>1343</v>
      </c>
      <c r="F664" s="54" t="s">
        <v>150</v>
      </c>
      <c r="G664" s="54" t="s">
        <v>164</v>
      </c>
      <c r="H664" s="54">
        <v>5</v>
      </c>
      <c r="I664" s="54">
        <v>0</v>
      </c>
      <c r="J664" s="54">
        <v>0</v>
      </c>
      <c r="K664" s="54">
        <v>14</v>
      </c>
      <c r="L664" s="23"/>
      <c r="N664" t="s">
        <v>161</v>
      </c>
    </row>
    <row r="665" spans="2:14" x14ac:dyDescent="0.25">
      <c r="B665" t="s">
        <v>161</v>
      </c>
      <c r="C665" s="58" t="s">
        <v>1344</v>
      </c>
      <c r="D665" s="59" t="s">
        <v>150</v>
      </c>
      <c r="E665" s="57" t="s">
        <v>1345</v>
      </c>
      <c r="F665" s="54" t="s">
        <v>150</v>
      </c>
      <c r="G665" s="54" t="s">
        <v>164</v>
      </c>
      <c r="H665" s="54">
        <v>5</v>
      </c>
      <c r="I665" s="54">
        <v>0</v>
      </c>
      <c r="J665" s="54">
        <v>0</v>
      </c>
      <c r="K665" s="54">
        <v>14</v>
      </c>
      <c r="L665" s="23"/>
      <c r="N665" t="s">
        <v>161</v>
      </c>
    </row>
    <row r="666" spans="2:14" x14ac:dyDescent="0.25">
      <c r="B666" t="s">
        <v>161</v>
      </c>
      <c r="C666" s="58" t="s">
        <v>1346</v>
      </c>
      <c r="D666" s="59" t="s">
        <v>150</v>
      </c>
      <c r="E666" s="57" t="s">
        <v>1347</v>
      </c>
      <c r="F666" s="54" t="s">
        <v>150</v>
      </c>
      <c r="G666" s="54" t="s">
        <v>164</v>
      </c>
      <c r="H666" s="54">
        <v>5</v>
      </c>
      <c r="I666" s="54">
        <v>0</v>
      </c>
      <c r="J666" s="54">
        <v>0</v>
      </c>
      <c r="K666" s="54">
        <v>14</v>
      </c>
      <c r="L666" s="23"/>
      <c r="N666" t="s">
        <v>161</v>
      </c>
    </row>
    <row r="667" spans="2:14" x14ac:dyDescent="0.25">
      <c r="B667" t="s">
        <v>161</v>
      </c>
      <c r="C667" s="58" t="s">
        <v>1348</v>
      </c>
      <c r="D667" s="59" t="s">
        <v>150</v>
      </c>
      <c r="E667" s="57" t="s">
        <v>208</v>
      </c>
      <c r="F667" s="54" t="s">
        <v>150</v>
      </c>
      <c r="G667" s="54" t="s">
        <v>164</v>
      </c>
      <c r="H667" s="54">
        <v>5</v>
      </c>
      <c r="I667" s="54">
        <v>0</v>
      </c>
      <c r="J667" s="54">
        <v>0</v>
      </c>
      <c r="K667" s="54">
        <v>14</v>
      </c>
      <c r="L667" s="23"/>
      <c r="N667" t="s">
        <v>161</v>
      </c>
    </row>
    <row r="668" spans="2:14" x14ac:dyDescent="0.25">
      <c r="B668" t="s">
        <v>161</v>
      </c>
      <c r="C668" s="58" t="s">
        <v>1349</v>
      </c>
      <c r="D668" s="59" t="s">
        <v>150</v>
      </c>
      <c r="E668" s="57" t="s">
        <v>210</v>
      </c>
      <c r="F668" s="54" t="s">
        <v>150</v>
      </c>
      <c r="G668" s="54" t="s">
        <v>164</v>
      </c>
      <c r="H668" s="54">
        <v>5</v>
      </c>
      <c r="I668" s="54">
        <v>0</v>
      </c>
      <c r="J668" s="54">
        <v>0</v>
      </c>
      <c r="K668" s="54">
        <v>14</v>
      </c>
      <c r="L668" s="23"/>
      <c r="N668" t="s">
        <v>161</v>
      </c>
    </row>
    <row r="669" spans="2:14" x14ac:dyDescent="0.25">
      <c r="B669" t="s">
        <v>161</v>
      </c>
      <c r="C669" s="58" t="s">
        <v>1350</v>
      </c>
      <c r="D669" s="59" t="s">
        <v>150</v>
      </c>
      <c r="E669" s="57" t="s">
        <v>204</v>
      </c>
      <c r="F669" s="54" t="s">
        <v>150</v>
      </c>
      <c r="G669" s="54" t="s">
        <v>164</v>
      </c>
      <c r="H669" s="54">
        <v>5</v>
      </c>
      <c r="I669" s="54">
        <v>0</v>
      </c>
      <c r="J669" s="54">
        <v>0</v>
      </c>
      <c r="K669" s="54">
        <v>14</v>
      </c>
      <c r="L669" s="23"/>
      <c r="N669" t="s">
        <v>161</v>
      </c>
    </row>
    <row r="670" spans="2:14" x14ac:dyDescent="0.25">
      <c r="B670" t="s">
        <v>161</v>
      </c>
      <c r="C670" s="58" t="s">
        <v>1351</v>
      </c>
      <c r="D670" s="59" t="s">
        <v>150</v>
      </c>
      <c r="E670" s="57" t="s">
        <v>206</v>
      </c>
      <c r="F670" s="54" t="s">
        <v>150</v>
      </c>
      <c r="G670" s="54" t="s">
        <v>164</v>
      </c>
      <c r="H670" s="54">
        <v>5</v>
      </c>
      <c r="I670" s="54">
        <v>0</v>
      </c>
      <c r="J670" s="54">
        <v>0</v>
      </c>
      <c r="K670" s="54">
        <v>14</v>
      </c>
      <c r="L670" s="23"/>
      <c r="N670" t="s">
        <v>161</v>
      </c>
    </row>
    <row r="671" spans="2:14" x14ac:dyDescent="0.25">
      <c r="B671" t="s">
        <v>161</v>
      </c>
      <c r="C671" s="58" t="s">
        <v>1352</v>
      </c>
      <c r="D671" s="59" t="s">
        <v>150</v>
      </c>
      <c r="E671" s="57" t="s">
        <v>1353</v>
      </c>
      <c r="F671" s="54" t="s">
        <v>150</v>
      </c>
      <c r="G671" s="54" t="s">
        <v>164</v>
      </c>
      <c r="H671" s="54">
        <v>5</v>
      </c>
      <c r="I671" s="54">
        <v>0</v>
      </c>
      <c r="J671" s="54">
        <v>0</v>
      </c>
      <c r="K671" s="54">
        <v>14</v>
      </c>
      <c r="L671" s="23"/>
      <c r="N671" t="s">
        <v>161</v>
      </c>
    </row>
    <row r="672" spans="2:14" x14ac:dyDescent="0.25">
      <c r="B672" t="s">
        <v>161</v>
      </c>
      <c r="C672" s="58" t="s">
        <v>1354</v>
      </c>
      <c r="D672" s="59" t="s">
        <v>150</v>
      </c>
      <c r="E672" s="57" t="s">
        <v>1355</v>
      </c>
      <c r="F672" s="54" t="s">
        <v>150</v>
      </c>
      <c r="G672" s="54" t="s">
        <v>164</v>
      </c>
      <c r="H672" s="54">
        <v>5</v>
      </c>
      <c r="I672" s="54">
        <v>0</v>
      </c>
      <c r="J672" s="54">
        <v>0</v>
      </c>
      <c r="K672" s="54">
        <v>14</v>
      </c>
      <c r="L672" s="23"/>
      <c r="N672" t="s">
        <v>161</v>
      </c>
    </row>
    <row r="673" spans="2:14" x14ac:dyDescent="0.25">
      <c r="B673" t="s">
        <v>161</v>
      </c>
      <c r="C673" s="58" t="s">
        <v>1356</v>
      </c>
      <c r="D673" s="59" t="s">
        <v>150</v>
      </c>
      <c r="E673" s="57" t="s">
        <v>184</v>
      </c>
      <c r="F673" s="54" t="s">
        <v>150</v>
      </c>
      <c r="G673" s="54" t="s">
        <v>164</v>
      </c>
      <c r="H673" s="54">
        <v>5</v>
      </c>
      <c r="I673" s="54">
        <v>0</v>
      </c>
      <c r="J673" s="54">
        <v>0</v>
      </c>
      <c r="K673" s="54">
        <v>14</v>
      </c>
      <c r="L673" s="23"/>
      <c r="N673" t="s">
        <v>161</v>
      </c>
    </row>
    <row r="674" spans="2:14" x14ac:dyDescent="0.25">
      <c r="B674" t="s">
        <v>161</v>
      </c>
      <c r="C674" s="58" t="s">
        <v>1357</v>
      </c>
      <c r="D674" s="59" t="s">
        <v>150</v>
      </c>
      <c r="E674" s="57" t="s">
        <v>186</v>
      </c>
      <c r="F674" s="54" t="s">
        <v>150</v>
      </c>
      <c r="G674" s="54" t="s">
        <v>164</v>
      </c>
      <c r="H674" s="54">
        <v>5</v>
      </c>
      <c r="I674" s="54">
        <v>0</v>
      </c>
      <c r="J674" s="54">
        <v>0</v>
      </c>
      <c r="K674" s="54">
        <v>14</v>
      </c>
      <c r="L674" s="23"/>
      <c r="N674" t="s">
        <v>161</v>
      </c>
    </row>
    <row r="675" spans="2:14" x14ac:dyDescent="0.25">
      <c r="B675" t="s">
        <v>161</v>
      </c>
      <c r="C675" s="58" t="s">
        <v>1358</v>
      </c>
      <c r="D675" s="59" t="s">
        <v>150</v>
      </c>
      <c r="E675" s="57" t="s">
        <v>1359</v>
      </c>
      <c r="F675" s="54" t="s">
        <v>150</v>
      </c>
      <c r="G675" s="54" t="s">
        <v>164</v>
      </c>
      <c r="H675" s="54">
        <v>5</v>
      </c>
      <c r="I675" s="54">
        <v>0</v>
      </c>
      <c r="J675" s="54">
        <v>0</v>
      </c>
      <c r="K675" s="54">
        <v>14</v>
      </c>
      <c r="L675" s="23"/>
      <c r="N675" t="s">
        <v>161</v>
      </c>
    </row>
    <row r="676" spans="2:14" x14ac:dyDescent="0.25">
      <c r="B676" t="s">
        <v>161</v>
      </c>
      <c r="C676" s="58" t="s">
        <v>1360</v>
      </c>
      <c r="D676" s="59" t="s">
        <v>150</v>
      </c>
      <c r="E676" s="57" t="s">
        <v>1361</v>
      </c>
      <c r="F676" s="54" t="s">
        <v>150</v>
      </c>
      <c r="G676" s="54" t="s">
        <v>164</v>
      </c>
      <c r="H676" s="54">
        <v>5</v>
      </c>
      <c r="I676" s="54">
        <v>0</v>
      </c>
      <c r="J676" s="54">
        <v>0</v>
      </c>
      <c r="K676" s="54">
        <v>14</v>
      </c>
      <c r="L676" s="23"/>
      <c r="N676" t="s">
        <v>161</v>
      </c>
    </row>
    <row r="677" spans="2:14" x14ac:dyDescent="0.25">
      <c r="B677" t="s">
        <v>161</v>
      </c>
      <c r="C677" s="58" t="s">
        <v>1362</v>
      </c>
      <c r="D677" s="59" t="s">
        <v>150</v>
      </c>
      <c r="E677" s="57" t="s">
        <v>218</v>
      </c>
      <c r="F677" s="54" t="s">
        <v>150</v>
      </c>
      <c r="G677" s="54" t="s">
        <v>164</v>
      </c>
      <c r="H677" s="54">
        <v>5</v>
      </c>
      <c r="I677" s="54">
        <v>0</v>
      </c>
      <c r="J677" s="54">
        <v>0</v>
      </c>
      <c r="K677" s="54">
        <v>14</v>
      </c>
      <c r="L677" s="23"/>
      <c r="N677" t="s">
        <v>161</v>
      </c>
    </row>
    <row r="678" spans="2:14" x14ac:dyDescent="0.25">
      <c r="B678" t="s">
        <v>161</v>
      </c>
      <c r="C678" s="58" t="s">
        <v>1363</v>
      </c>
      <c r="D678" s="59" t="s">
        <v>150</v>
      </c>
      <c r="E678" s="57" t="s">
        <v>220</v>
      </c>
      <c r="F678" s="54" t="s">
        <v>150</v>
      </c>
      <c r="G678" s="54" t="s">
        <v>164</v>
      </c>
      <c r="H678" s="54">
        <v>5</v>
      </c>
      <c r="I678" s="54">
        <v>0</v>
      </c>
      <c r="J678" s="54">
        <v>0</v>
      </c>
      <c r="K678" s="54">
        <v>14</v>
      </c>
      <c r="L678" s="23"/>
      <c r="N678" t="s">
        <v>161</v>
      </c>
    </row>
    <row r="679" spans="2:14" x14ac:dyDescent="0.25">
      <c r="B679" t="s">
        <v>161</v>
      </c>
      <c r="C679" s="58" t="s">
        <v>1364</v>
      </c>
      <c r="D679" s="59" t="s">
        <v>150</v>
      </c>
      <c r="E679" s="57" t="s">
        <v>1279</v>
      </c>
      <c r="F679" s="54" t="s">
        <v>150</v>
      </c>
      <c r="G679" s="54" t="s">
        <v>164</v>
      </c>
      <c r="H679" s="54">
        <v>5</v>
      </c>
      <c r="I679" s="54">
        <v>0</v>
      </c>
      <c r="J679" s="54">
        <v>0</v>
      </c>
      <c r="K679" s="54">
        <v>14</v>
      </c>
      <c r="L679" s="23"/>
      <c r="N679" t="s">
        <v>161</v>
      </c>
    </row>
    <row r="680" spans="2:14" x14ac:dyDescent="0.25">
      <c r="B680" t="s">
        <v>161</v>
      </c>
      <c r="C680" s="58" t="s">
        <v>1365</v>
      </c>
      <c r="D680" s="59" t="s">
        <v>150</v>
      </c>
      <c r="E680" s="57" t="s">
        <v>1285</v>
      </c>
      <c r="F680" s="54" t="s">
        <v>150</v>
      </c>
      <c r="G680" s="54" t="s">
        <v>164</v>
      </c>
      <c r="H680" s="54">
        <v>5</v>
      </c>
      <c r="I680" s="54">
        <v>0</v>
      </c>
      <c r="J680" s="54">
        <v>0</v>
      </c>
      <c r="K680" s="54">
        <v>14</v>
      </c>
      <c r="L680" s="23"/>
      <c r="N680" t="s">
        <v>161</v>
      </c>
    </row>
    <row r="681" spans="2:14" x14ac:dyDescent="0.25">
      <c r="B681" t="s">
        <v>161</v>
      </c>
      <c r="C681" s="58" t="s">
        <v>1366</v>
      </c>
      <c r="D681" s="59" t="s">
        <v>150</v>
      </c>
      <c r="E681" s="57" t="s">
        <v>212</v>
      </c>
      <c r="F681" s="54" t="s">
        <v>150</v>
      </c>
      <c r="G681" s="54" t="s">
        <v>164</v>
      </c>
      <c r="H681" s="54">
        <v>5</v>
      </c>
      <c r="I681" s="54">
        <v>0</v>
      </c>
      <c r="J681" s="54">
        <v>0</v>
      </c>
      <c r="K681" s="54">
        <v>14</v>
      </c>
      <c r="L681" s="23"/>
      <c r="N681" t="s">
        <v>161</v>
      </c>
    </row>
    <row r="682" spans="2:14" x14ac:dyDescent="0.25">
      <c r="B682" t="s">
        <v>161</v>
      </c>
      <c r="C682" s="58" t="s">
        <v>1367</v>
      </c>
      <c r="D682" s="59" t="s">
        <v>150</v>
      </c>
      <c r="E682" s="57" t="s">
        <v>214</v>
      </c>
      <c r="F682" s="54" t="s">
        <v>150</v>
      </c>
      <c r="G682" s="54" t="s">
        <v>164</v>
      </c>
      <c r="H682" s="54">
        <v>5</v>
      </c>
      <c r="I682" s="54">
        <v>0</v>
      </c>
      <c r="J682" s="54">
        <v>0</v>
      </c>
      <c r="K682" s="54">
        <v>14</v>
      </c>
      <c r="L682" s="23"/>
      <c r="N682" t="s">
        <v>161</v>
      </c>
    </row>
    <row r="683" spans="2:14" x14ac:dyDescent="0.25">
      <c r="B683" t="s">
        <v>161</v>
      </c>
      <c r="C683" s="58" t="s">
        <v>1368</v>
      </c>
      <c r="D683" s="59" t="s">
        <v>150</v>
      </c>
      <c r="E683" s="57" t="s">
        <v>196</v>
      </c>
      <c r="F683" s="54" t="s">
        <v>150</v>
      </c>
      <c r="G683" s="54" t="s">
        <v>164</v>
      </c>
      <c r="H683" s="54">
        <v>5</v>
      </c>
      <c r="I683" s="54">
        <v>0</v>
      </c>
      <c r="J683" s="54">
        <v>0</v>
      </c>
      <c r="K683" s="54">
        <v>14</v>
      </c>
      <c r="L683" s="23"/>
      <c r="N683" t="s">
        <v>161</v>
      </c>
    </row>
    <row r="684" spans="2:14" x14ac:dyDescent="0.25">
      <c r="B684" t="s">
        <v>161</v>
      </c>
      <c r="C684" s="58" t="s">
        <v>1369</v>
      </c>
      <c r="D684" s="59" t="s">
        <v>150</v>
      </c>
      <c r="E684" s="57" t="s">
        <v>198</v>
      </c>
      <c r="F684" s="54" t="s">
        <v>150</v>
      </c>
      <c r="G684" s="54" t="s">
        <v>164</v>
      </c>
      <c r="H684" s="54">
        <v>5</v>
      </c>
      <c r="I684" s="54">
        <v>0</v>
      </c>
      <c r="J684" s="54">
        <v>0</v>
      </c>
      <c r="K684" s="54">
        <v>14</v>
      </c>
      <c r="L684" s="23"/>
      <c r="N684" t="s">
        <v>161</v>
      </c>
    </row>
    <row r="685" spans="2:14" x14ac:dyDescent="0.25">
      <c r="B685" t="s">
        <v>161</v>
      </c>
      <c r="C685" s="58" t="s">
        <v>1370</v>
      </c>
      <c r="D685" s="59" t="s">
        <v>150</v>
      </c>
      <c r="E685" s="57" t="s">
        <v>330</v>
      </c>
      <c r="F685" s="54" t="s">
        <v>150</v>
      </c>
      <c r="G685" s="54" t="s">
        <v>164</v>
      </c>
      <c r="H685" s="54">
        <v>5</v>
      </c>
      <c r="I685" s="54">
        <v>0</v>
      </c>
      <c r="J685" s="54">
        <v>0</v>
      </c>
      <c r="K685" s="54">
        <v>14</v>
      </c>
      <c r="L685" s="23"/>
      <c r="N685" t="s">
        <v>161</v>
      </c>
    </row>
    <row r="686" spans="2:14" x14ac:dyDescent="0.25">
      <c r="B686" t="s">
        <v>161</v>
      </c>
      <c r="C686" s="58" t="s">
        <v>1371</v>
      </c>
      <c r="D686" s="59" t="s">
        <v>150</v>
      </c>
      <c r="E686" s="57" t="s">
        <v>332</v>
      </c>
      <c r="F686" s="54" t="s">
        <v>150</v>
      </c>
      <c r="G686" s="54" t="s">
        <v>164</v>
      </c>
      <c r="H686" s="54">
        <v>5</v>
      </c>
      <c r="I686" s="54">
        <v>0</v>
      </c>
      <c r="J686" s="54">
        <v>0</v>
      </c>
      <c r="K686" s="54">
        <v>14</v>
      </c>
      <c r="L686" s="23"/>
      <c r="N686" t="s">
        <v>161</v>
      </c>
    </row>
    <row r="687" spans="2:14" x14ac:dyDescent="0.25">
      <c r="B687" t="s">
        <v>161</v>
      </c>
      <c r="C687" s="58" t="s">
        <v>1372</v>
      </c>
      <c r="D687" s="59" t="s">
        <v>150</v>
      </c>
      <c r="E687" s="57" t="s">
        <v>254</v>
      </c>
      <c r="F687" s="54" t="s">
        <v>150</v>
      </c>
      <c r="G687" s="54" t="s">
        <v>164</v>
      </c>
      <c r="H687" s="54">
        <v>5</v>
      </c>
      <c r="I687" s="54">
        <v>0</v>
      </c>
      <c r="J687" s="54">
        <v>0</v>
      </c>
      <c r="K687" s="54">
        <v>14</v>
      </c>
      <c r="L687" s="23"/>
      <c r="N687" t="s">
        <v>161</v>
      </c>
    </row>
    <row r="688" spans="2:14" x14ac:dyDescent="0.25">
      <c r="B688" t="s">
        <v>161</v>
      </c>
      <c r="C688" s="58" t="s">
        <v>1373</v>
      </c>
      <c r="D688" s="59" t="s">
        <v>150</v>
      </c>
      <c r="E688" s="57" t="s">
        <v>256</v>
      </c>
      <c r="F688" s="54" t="s">
        <v>150</v>
      </c>
      <c r="G688" s="54" t="s">
        <v>164</v>
      </c>
      <c r="H688" s="54">
        <v>5</v>
      </c>
      <c r="I688" s="54">
        <v>0</v>
      </c>
      <c r="J688" s="54">
        <v>0</v>
      </c>
      <c r="K688" s="54">
        <v>14</v>
      </c>
      <c r="L688" s="23"/>
      <c r="N688" t="s">
        <v>161</v>
      </c>
    </row>
    <row r="689" spans="2:14" x14ac:dyDescent="0.25">
      <c r="B689" t="s">
        <v>161</v>
      </c>
      <c r="C689" s="58" t="s">
        <v>1374</v>
      </c>
      <c r="D689" s="59" t="s">
        <v>150</v>
      </c>
      <c r="E689" s="57" t="s">
        <v>180</v>
      </c>
      <c r="F689" s="54" t="s">
        <v>150</v>
      </c>
      <c r="G689" s="54" t="s">
        <v>164</v>
      </c>
      <c r="H689" s="54">
        <v>5</v>
      </c>
      <c r="I689" s="54">
        <v>0</v>
      </c>
      <c r="J689" s="54">
        <v>0</v>
      </c>
      <c r="K689" s="54">
        <v>14</v>
      </c>
      <c r="L689" s="23"/>
      <c r="N689" t="s">
        <v>161</v>
      </c>
    </row>
    <row r="690" spans="2:14" x14ac:dyDescent="0.25">
      <c r="B690" t="s">
        <v>161</v>
      </c>
      <c r="C690" s="58" t="s">
        <v>1375</v>
      </c>
      <c r="D690" s="59" t="s">
        <v>150</v>
      </c>
      <c r="E690" s="57" t="s">
        <v>182</v>
      </c>
      <c r="F690" s="54" t="s">
        <v>150</v>
      </c>
      <c r="G690" s="54" t="s">
        <v>164</v>
      </c>
      <c r="H690" s="54">
        <v>5</v>
      </c>
      <c r="I690" s="54">
        <v>0</v>
      </c>
      <c r="J690" s="54">
        <v>0</v>
      </c>
      <c r="K690" s="54">
        <v>14</v>
      </c>
      <c r="L690" s="23"/>
      <c r="N690" t="s">
        <v>161</v>
      </c>
    </row>
    <row r="691" spans="2:14" x14ac:dyDescent="0.25">
      <c r="B691" t="s">
        <v>161</v>
      </c>
      <c r="C691" s="58" t="s">
        <v>1376</v>
      </c>
      <c r="D691" s="59" t="s">
        <v>150</v>
      </c>
      <c r="E691" s="57" t="s">
        <v>196</v>
      </c>
      <c r="F691" s="54" t="s">
        <v>150</v>
      </c>
      <c r="G691" s="54" t="s">
        <v>164</v>
      </c>
      <c r="H691" s="54">
        <v>5</v>
      </c>
      <c r="I691" s="54">
        <v>0</v>
      </c>
      <c r="J691" s="54">
        <v>0</v>
      </c>
      <c r="K691" s="54">
        <v>14</v>
      </c>
      <c r="L691" s="23"/>
      <c r="N691" t="s">
        <v>161</v>
      </c>
    </row>
    <row r="692" spans="2:14" x14ac:dyDescent="0.25">
      <c r="B692" t="s">
        <v>161</v>
      </c>
      <c r="C692" s="58" t="s">
        <v>1377</v>
      </c>
      <c r="D692" s="59" t="s">
        <v>150</v>
      </c>
      <c r="E692" s="57" t="s">
        <v>198</v>
      </c>
      <c r="F692" s="54" t="s">
        <v>150</v>
      </c>
      <c r="G692" s="54" t="s">
        <v>164</v>
      </c>
      <c r="H692" s="54">
        <v>5</v>
      </c>
      <c r="I692" s="54">
        <v>0</v>
      </c>
      <c r="J692" s="54">
        <v>0</v>
      </c>
      <c r="K692" s="54">
        <v>14</v>
      </c>
      <c r="L692" s="23"/>
      <c r="N692" t="s">
        <v>161</v>
      </c>
    </row>
    <row r="693" spans="2:14" x14ac:dyDescent="0.25">
      <c r="B693" t="s">
        <v>161</v>
      </c>
      <c r="C693" s="58" t="s">
        <v>1378</v>
      </c>
      <c r="D693" s="59" t="s">
        <v>150</v>
      </c>
      <c r="E693" s="57" t="s">
        <v>1379</v>
      </c>
      <c r="F693" s="54" t="s">
        <v>150</v>
      </c>
      <c r="G693" s="54" t="s">
        <v>164</v>
      </c>
      <c r="H693" s="54">
        <v>5</v>
      </c>
      <c r="I693" s="54">
        <v>0</v>
      </c>
      <c r="J693" s="54">
        <v>0</v>
      </c>
      <c r="K693" s="54">
        <v>14</v>
      </c>
      <c r="L693" s="23"/>
      <c r="N693" t="s">
        <v>161</v>
      </c>
    </row>
    <row r="694" spans="2:14" x14ac:dyDescent="0.25">
      <c r="B694" t="s">
        <v>161</v>
      </c>
      <c r="C694" s="58" t="s">
        <v>1380</v>
      </c>
      <c r="D694" s="59" t="s">
        <v>150</v>
      </c>
      <c r="E694" s="57" t="s">
        <v>1381</v>
      </c>
      <c r="F694" s="54" t="s">
        <v>150</v>
      </c>
      <c r="G694" s="54" t="s">
        <v>164</v>
      </c>
      <c r="H694" s="54">
        <v>5</v>
      </c>
      <c r="I694" s="54">
        <v>0</v>
      </c>
      <c r="J694" s="54">
        <v>0</v>
      </c>
      <c r="K694" s="54">
        <v>14</v>
      </c>
      <c r="L694" s="23"/>
      <c r="N694" t="s">
        <v>161</v>
      </c>
    </row>
    <row r="695" spans="2:14" x14ac:dyDescent="0.25">
      <c r="B695" t="s">
        <v>161</v>
      </c>
      <c r="C695" s="58" t="s">
        <v>1382</v>
      </c>
      <c r="D695" s="59" t="s">
        <v>150</v>
      </c>
      <c r="E695" s="57" t="s">
        <v>172</v>
      </c>
      <c r="F695" s="54" t="s">
        <v>150</v>
      </c>
      <c r="G695" s="54" t="s">
        <v>164</v>
      </c>
      <c r="H695" s="54">
        <v>5</v>
      </c>
      <c r="I695" s="54">
        <v>0</v>
      </c>
      <c r="J695" s="54">
        <v>0</v>
      </c>
      <c r="K695" s="54">
        <v>14</v>
      </c>
      <c r="L695" s="23"/>
      <c r="N695" t="s">
        <v>161</v>
      </c>
    </row>
    <row r="696" spans="2:14" x14ac:dyDescent="0.25">
      <c r="B696" t="s">
        <v>161</v>
      </c>
      <c r="C696" s="58" t="s">
        <v>1383</v>
      </c>
      <c r="D696" s="59" t="s">
        <v>150</v>
      </c>
      <c r="E696" s="57" t="s">
        <v>174</v>
      </c>
      <c r="F696" s="54" t="s">
        <v>150</v>
      </c>
      <c r="G696" s="54" t="s">
        <v>164</v>
      </c>
      <c r="H696" s="54">
        <v>5</v>
      </c>
      <c r="I696" s="54">
        <v>0</v>
      </c>
      <c r="J696" s="54">
        <v>0</v>
      </c>
      <c r="K696" s="54">
        <v>14</v>
      </c>
      <c r="L696" s="23"/>
      <c r="N696" t="s">
        <v>161</v>
      </c>
    </row>
    <row r="697" spans="2:14" x14ac:dyDescent="0.25">
      <c r="B697" t="s">
        <v>161</v>
      </c>
      <c r="C697" s="58" t="s">
        <v>1384</v>
      </c>
      <c r="D697" s="59" t="s">
        <v>150</v>
      </c>
      <c r="E697" s="57" t="s">
        <v>1307</v>
      </c>
      <c r="F697" s="54" t="s">
        <v>150</v>
      </c>
      <c r="G697" s="54" t="s">
        <v>164</v>
      </c>
      <c r="H697" s="54">
        <v>5</v>
      </c>
      <c r="I697" s="54">
        <v>0</v>
      </c>
      <c r="J697" s="54">
        <v>0</v>
      </c>
      <c r="K697" s="54">
        <v>14</v>
      </c>
      <c r="L697" s="23"/>
      <c r="N697" t="s">
        <v>161</v>
      </c>
    </row>
    <row r="698" spans="2:14" x14ac:dyDescent="0.25">
      <c r="B698" t="s">
        <v>161</v>
      </c>
      <c r="C698" s="58" t="s">
        <v>1385</v>
      </c>
      <c r="D698" s="59" t="s">
        <v>150</v>
      </c>
      <c r="E698" s="57" t="s">
        <v>1309</v>
      </c>
      <c r="F698" s="54" t="s">
        <v>150</v>
      </c>
      <c r="G698" s="54" t="s">
        <v>164</v>
      </c>
      <c r="H698" s="54">
        <v>5</v>
      </c>
      <c r="I698" s="54">
        <v>0</v>
      </c>
      <c r="J698" s="54">
        <v>0</v>
      </c>
      <c r="K698" s="54">
        <v>14</v>
      </c>
      <c r="L698" s="23"/>
      <c r="N698" t="s">
        <v>161</v>
      </c>
    </row>
    <row r="699" spans="2:14" x14ac:dyDescent="0.25">
      <c r="B699" t="s">
        <v>161</v>
      </c>
      <c r="C699" s="58" t="s">
        <v>1386</v>
      </c>
      <c r="D699" s="59" t="s">
        <v>150</v>
      </c>
      <c r="E699" s="57" t="s">
        <v>180</v>
      </c>
      <c r="F699" s="54" t="s">
        <v>150</v>
      </c>
      <c r="G699" s="54" t="s">
        <v>164</v>
      </c>
      <c r="H699" s="54">
        <v>5</v>
      </c>
      <c r="I699" s="54">
        <v>0</v>
      </c>
      <c r="J699" s="54">
        <v>0</v>
      </c>
      <c r="K699" s="54">
        <v>14</v>
      </c>
      <c r="L699" s="23"/>
      <c r="N699" t="s">
        <v>161</v>
      </c>
    </row>
    <row r="700" spans="2:14" x14ac:dyDescent="0.25">
      <c r="B700" t="s">
        <v>161</v>
      </c>
      <c r="C700" s="58" t="s">
        <v>1387</v>
      </c>
      <c r="D700" s="59" t="s">
        <v>150</v>
      </c>
      <c r="E700" s="57" t="s">
        <v>182</v>
      </c>
      <c r="F700" s="54" t="s">
        <v>150</v>
      </c>
      <c r="G700" s="54" t="s">
        <v>164</v>
      </c>
      <c r="H700" s="54">
        <v>5</v>
      </c>
      <c r="I700" s="54">
        <v>0</v>
      </c>
      <c r="J700" s="54">
        <v>0</v>
      </c>
      <c r="K700" s="54">
        <v>14</v>
      </c>
      <c r="L700" s="23"/>
      <c r="N700" t="s">
        <v>161</v>
      </c>
    </row>
    <row r="701" spans="2:14" x14ac:dyDescent="0.25">
      <c r="B701" t="s">
        <v>161</v>
      </c>
      <c r="C701" s="58" t="s">
        <v>1388</v>
      </c>
      <c r="D701" s="59" t="s">
        <v>150</v>
      </c>
      <c r="E701" s="57" t="s">
        <v>1389</v>
      </c>
      <c r="F701" s="54" t="s">
        <v>150</v>
      </c>
      <c r="G701" s="54" t="s">
        <v>164</v>
      </c>
      <c r="H701" s="54">
        <v>5</v>
      </c>
      <c r="I701" s="54">
        <v>0</v>
      </c>
      <c r="J701" s="54">
        <v>0</v>
      </c>
      <c r="K701" s="54">
        <v>14</v>
      </c>
      <c r="L701" s="23"/>
      <c r="N701" t="s">
        <v>161</v>
      </c>
    </row>
    <row r="702" spans="2:14" x14ac:dyDescent="0.25">
      <c r="B702" t="s">
        <v>161</v>
      </c>
      <c r="C702" s="58" t="s">
        <v>1390</v>
      </c>
      <c r="D702" s="59" t="s">
        <v>150</v>
      </c>
      <c r="E702" s="57" t="s">
        <v>1391</v>
      </c>
      <c r="F702" s="54" t="s">
        <v>150</v>
      </c>
      <c r="G702" s="54" t="s">
        <v>164</v>
      </c>
      <c r="H702" s="54">
        <v>5</v>
      </c>
      <c r="I702" s="54">
        <v>0</v>
      </c>
      <c r="J702" s="54">
        <v>0</v>
      </c>
      <c r="K702" s="54">
        <v>14</v>
      </c>
      <c r="L702" s="23"/>
      <c r="N702" t="s">
        <v>161</v>
      </c>
    </row>
    <row r="703" spans="2:14" x14ac:dyDescent="0.25">
      <c r="B703" t="s">
        <v>161</v>
      </c>
      <c r="C703" s="58" t="s">
        <v>1392</v>
      </c>
      <c r="D703" s="59" t="s">
        <v>150</v>
      </c>
      <c r="E703" s="57" t="s">
        <v>1393</v>
      </c>
      <c r="F703" s="54" t="s">
        <v>150</v>
      </c>
      <c r="G703" s="54" t="s">
        <v>164</v>
      </c>
      <c r="H703" s="54">
        <v>5</v>
      </c>
      <c r="I703" s="54">
        <v>0</v>
      </c>
      <c r="J703" s="54">
        <v>0</v>
      </c>
      <c r="K703" s="54">
        <v>14</v>
      </c>
      <c r="L703" s="23"/>
      <c r="N703" t="s">
        <v>161</v>
      </c>
    </row>
    <row r="704" spans="2:14" x14ac:dyDescent="0.25">
      <c r="B704" t="s">
        <v>161</v>
      </c>
      <c r="C704" s="58" t="s">
        <v>1394</v>
      </c>
      <c r="D704" s="59" t="s">
        <v>150</v>
      </c>
      <c r="E704" s="57" t="s">
        <v>1395</v>
      </c>
      <c r="F704" s="54" t="s">
        <v>150</v>
      </c>
      <c r="G704" s="54" t="s">
        <v>164</v>
      </c>
      <c r="H704" s="54">
        <v>5</v>
      </c>
      <c r="I704" s="54">
        <v>0</v>
      </c>
      <c r="J704" s="54">
        <v>0</v>
      </c>
      <c r="K704" s="54">
        <v>14</v>
      </c>
      <c r="L704" s="23"/>
      <c r="N704" t="s">
        <v>161</v>
      </c>
    </row>
    <row r="705" spans="2:14" x14ac:dyDescent="0.25">
      <c r="B705" t="s">
        <v>161</v>
      </c>
      <c r="C705" s="58" t="s">
        <v>1396</v>
      </c>
      <c r="D705" s="59" t="s">
        <v>150</v>
      </c>
      <c r="E705" s="57" t="s">
        <v>1397</v>
      </c>
      <c r="F705" s="54" t="s">
        <v>150</v>
      </c>
      <c r="G705" s="54" t="s">
        <v>164</v>
      </c>
      <c r="H705" s="54">
        <v>5</v>
      </c>
      <c r="I705" s="54">
        <v>0</v>
      </c>
      <c r="J705" s="54">
        <v>0</v>
      </c>
      <c r="K705" s="54">
        <v>14</v>
      </c>
      <c r="L705" s="23"/>
      <c r="N705" t="s">
        <v>161</v>
      </c>
    </row>
    <row r="706" spans="2:14" x14ac:dyDescent="0.25">
      <c r="B706" t="s">
        <v>161</v>
      </c>
      <c r="C706" s="58" t="s">
        <v>1398</v>
      </c>
      <c r="D706" s="59" t="s">
        <v>150</v>
      </c>
      <c r="E706" s="57" t="s">
        <v>1399</v>
      </c>
      <c r="F706" s="54" t="s">
        <v>150</v>
      </c>
      <c r="G706" s="54" t="s">
        <v>164</v>
      </c>
      <c r="H706" s="54">
        <v>5</v>
      </c>
      <c r="I706" s="54">
        <v>0</v>
      </c>
      <c r="J706" s="54">
        <v>0</v>
      </c>
      <c r="K706" s="54">
        <v>14</v>
      </c>
      <c r="L706" s="23"/>
      <c r="N706" t="s">
        <v>161</v>
      </c>
    </row>
    <row r="707" spans="2:14" x14ac:dyDescent="0.25">
      <c r="B707" t="s">
        <v>161</v>
      </c>
      <c r="C707" s="58" t="s">
        <v>1400</v>
      </c>
      <c r="D707" s="59" t="s">
        <v>150</v>
      </c>
      <c r="E707" s="57" t="s">
        <v>1401</v>
      </c>
      <c r="F707" s="54" t="s">
        <v>150</v>
      </c>
      <c r="G707" s="54" t="s">
        <v>164</v>
      </c>
      <c r="H707" s="54">
        <v>5</v>
      </c>
      <c r="I707" s="54">
        <v>0</v>
      </c>
      <c r="J707" s="54">
        <v>0</v>
      </c>
      <c r="K707" s="54">
        <v>14</v>
      </c>
      <c r="L707" s="23"/>
      <c r="N707" t="s">
        <v>161</v>
      </c>
    </row>
    <row r="708" spans="2:14" x14ac:dyDescent="0.25">
      <c r="B708" t="s">
        <v>161</v>
      </c>
      <c r="C708" s="58" t="s">
        <v>1402</v>
      </c>
      <c r="D708" s="59" t="s">
        <v>150</v>
      </c>
      <c r="E708" s="57" t="s">
        <v>1403</v>
      </c>
      <c r="F708" s="54" t="s">
        <v>150</v>
      </c>
      <c r="G708" s="54" t="s">
        <v>164</v>
      </c>
      <c r="H708" s="54">
        <v>5</v>
      </c>
      <c r="I708" s="54">
        <v>0</v>
      </c>
      <c r="J708" s="54">
        <v>0</v>
      </c>
      <c r="K708" s="54">
        <v>14</v>
      </c>
      <c r="L708" s="23"/>
      <c r="N708" t="s">
        <v>161</v>
      </c>
    </row>
    <row r="709" spans="2:14" x14ac:dyDescent="0.25">
      <c r="B709" t="s">
        <v>161</v>
      </c>
      <c r="C709" s="58" t="s">
        <v>1404</v>
      </c>
      <c r="D709" s="59" t="s">
        <v>150</v>
      </c>
      <c r="E709" s="57" t="s">
        <v>184</v>
      </c>
      <c r="F709" s="54" t="s">
        <v>150</v>
      </c>
      <c r="G709" s="54" t="s">
        <v>164</v>
      </c>
      <c r="H709" s="54">
        <v>5</v>
      </c>
      <c r="I709" s="54">
        <v>0</v>
      </c>
      <c r="J709" s="54">
        <v>0</v>
      </c>
      <c r="K709" s="54">
        <v>14</v>
      </c>
      <c r="L709" s="23"/>
      <c r="N709" t="s">
        <v>161</v>
      </c>
    </row>
    <row r="710" spans="2:14" x14ac:dyDescent="0.25">
      <c r="B710" t="s">
        <v>161</v>
      </c>
      <c r="C710" s="58" t="s">
        <v>1405</v>
      </c>
      <c r="D710" s="59" t="s">
        <v>150</v>
      </c>
      <c r="E710" s="57" t="s">
        <v>186</v>
      </c>
      <c r="F710" s="54" t="s">
        <v>150</v>
      </c>
      <c r="G710" s="54" t="s">
        <v>164</v>
      </c>
      <c r="H710" s="54">
        <v>5</v>
      </c>
      <c r="I710" s="54">
        <v>0</v>
      </c>
      <c r="J710" s="54">
        <v>0</v>
      </c>
      <c r="K710" s="54">
        <v>14</v>
      </c>
      <c r="L710" s="23"/>
      <c r="N710" t="s">
        <v>161</v>
      </c>
    </row>
    <row r="711" spans="2:14" x14ac:dyDescent="0.25">
      <c r="B711" t="s">
        <v>161</v>
      </c>
      <c r="C711" s="58" t="s">
        <v>1406</v>
      </c>
      <c r="D711" s="59" t="s">
        <v>150</v>
      </c>
      <c r="E711" s="57" t="s">
        <v>1393</v>
      </c>
      <c r="F711" s="54" t="s">
        <v>150</v>
      </c>
      <c r="G711" s="54" t="s">
        <v>164</v>
      </c>
      <c r="H711" s="54">
        <v>5</v>
      </c>
      <c r="I711" s="54">
        <v>0</v>
      </c>
      <c r="J711" s="54">
        <v>0</v>
      </c>
      <c r="K711" s="54">
        <v>14</v>
      </c>
      <c r="L711" s="23"/>
      <c r="N711" t="s">
        <v>161</v>
      </c>
    </row>
    <row r="712" spans="2:14" x14ac:dyDescent="0.25">
      <c r="B712" t="s">
        <v>161</v>
      </c>
      <c r="C712" s="58" t="s">
        <v>1407</v>
      </c>
      <c r="D712" s="59" t="s">
        <v>150</v>
      </c>
      <c r="E712" s="57" t="s">
        <v>1395</v>
      </c>
      <c r="F712" s="54" t="s">
        <v>150</v>
      </c>
      <c r="G712" s="54" t="s">
        <v>164</v>
      </c>
      <c r="H712" s="54">
        <v>5</v>
      </c>
      <c r="I712" s="54">
        <v>0</v>
      </c>
      <c r="J712" s="54">
        <v>0</v>
      </c>
      <c r="K712" s="54">
        <v>14</v>
      </c>
      <c r="L712" s="23"/>
      <c r="N712" t="s">
        <v>161</v>
      </c>
    </row>
    <row r="713" spans="2:14" x14ac:dyDescent="0.25">
      <c r="B713" t="s">
        <v>161</v>
      </c>
      <c r="C713" s="58" t="s">
        <v>1408</v>
      </c>
      <c r="D713" s="59" t="s">
        <v>150</v>
      </c>
      <c r="E713" s="57" t="s">
        <v>1393</v>
      </c>
      <c r="F713" s="54" t="s">
        <v>150</v>
      </c>
      <c r="G713" s="54" t="s">
        <v>164</v>
      </c>
      <c r="H713" s="54">
        <v>5</v>
      </c>
      <c r="I713" s="54">
        <v>0</v>
      </c>
      <c r="J713" s="54">
        <v>0</v>
      </c>
      <c r="K713" s="54">
        <v>14</v>
      </c>
      <c r="L713" s="23"/>
      <c r="N713" t="s">
        <v>161</v>
      </c>
    </row>
    <row r="714" spans="2:14" x14ac:dyDescent="0.25">
      <c r="B714" t="s">
        <v>161</v>
      </c>
      <c r="C714" s="58" t="s">
        <v>1409</v>
      </c>
      <c r="D714" s="59" t="s">
        <v>150</v>
      </c>
      <c r="E714" s="57" t="s">
        <v>1395</v>
      </c>
      <c r="F714" s="54" t="s">
        <v>150</v>
      </c>
      <c r="G714" s="54" t="s">
        <v>164</v>
      </c>
      <c r="H714" s="54">
        <v>5</v>
      </c>
      <c r="I714" s="54">
        <v>0</v>
      </c>
      <c r="J714" s="54">
        <v>0</v>
      </c>
      <c r="K714" s="54">
        <v>14</v>
      </c>
      <c r="L714" s="23"/>
      <c r="N714" t="s">
        <v>161</v>
      </c>
    </row>
    <row r="715" spans="2:14" x14ac:dyDescent="0.25">
      <c r="B715" t="s">
        <v>161</v>
      </c>
      <c r="C715" s="58" t="s">
        <v>1410</v>
      </c>
      <c r="D715" s="59" t="s">
        <v>150</v>
      </c>
      <c r="E715" s="57" t="s">
        <v>1307</v>
      </c>
      <c r="F715" s="54" t="s">
        <v>150</v>
      </c>
      <c r="G715" s="54" t="s">
        <v>164</v>
      </c>
      <c r="H715" s="54">
        <v>5</v>
      </c>
      <c r="I715" s="54">
        <v>0</v>
      </c>
      <c r="J715" s="54">
        <v>0</v>
      </c>
      <c r="K715" s="54">
        <v>14</v>
      </c>
      <c r="L715" s="23"/>
      <c r="N715" t="s">
        <v>161</v>
      </c>
    </row>
    <row r="716" spans="2:14" x14ac:dyDescent="0.25">
      <c r="B716" t="s">
        <v>161</v>
      </c>
      <c r="C716" s="58" t="s">
        <v>1411</v>
      </c>
      <c r="D716" s="59" t="s">
        <v>150</v>
      </c>
      <c r="E716" s="57" t="s">
        <v>1309</v>
      </c>
      <c r="F716" s="54" t="s">
        <v>150</v>
      </c>
      <c r="G716" s="54" t="s">
        <v>164</v>
      </c>
      <c r="H716" s="54">
        <v>5</v>
      </c>
      <c r="I716" s="54">
        <v>0</v>
      </c>
      <c r="J716" s="54">
        <v>0</v>
      </c>
      <c r="K716" s="54">
        <v>14</v>
      </c>
      <c r="L716" s="23"/>
      <c r="N716" t="s">
        <v>161</v>
      </c>
    </row>
    <row r="717" spans="2:14" x14ac:dyDescent="0.25">
      <c r="B717" t="s">
        <v>161</v>
      </c>
      <c r="C717" s="58" t="s">
        <v>1412</v>
      </c>
      <c r="D717" s="59" t="s">
        <v>150</v>
      </c>
      <c r="E717" s="57" t="s">
        <v>1413</v>
      </c>
      <c r="F717" s="54" t="s">
        <v>150</v>
      </c>
      <c r="G717" s="54" t="s">
        <v>164</v>
      </c>
      <c r="H717" s="54">
        <v>5</v>
      </c>
      <c r="I717" s="54">
        <v>0</v>
      </c>
      <c r="J717" s="54">
        <v>0</v>
      </c>
      <c r="K717" s="54">
        <v>14</v>
      </c>
      <c r="L717" s="23"/>
      <c r="N717" t="s">
        <v>161</v>
      </c>
    </row>
    <row r="718" spans="2:14" x14ac:dyDescent="0.25">
      <c r="B718" t="s">
        <v>161</v>
      </c>
      <c r="C718" s="58" t="s">
        <v>1414</v>
      </c>
      <c r="D718" s="59" t="s">
        <v>150</v>
      </c>
      <c r="E718" s="57" t="s">
        <v>1415</v>
      </c>
      <c r="F718" s="54" t="s">
        <v>150</v>
      </c>
      <c r="G718" s="54" t="s">
        <v>164</v>
      </c>
      <c r="H718" s="54">
        <v>5</v>
      </c>
      <c r="I718" s="54">
        <v>0</v>
      </c>
      <c r="J718" s="54">
        <v>0</v>
      </c>
      <c r="K718" s="54">
        <v>14</v>
      </c>
      <c r="L718" s="23"/>
      <c r="N718" t="s">
        <v>161</v>
      </c>
    </row>
    <row r="719" spans="2:14" x14ac:dyDescent="0.25">
      <c r="B719" t="s">
        <v>161</v>
      </c>
      <c r="C719" s="58" t="s">
        <v>1416</v>
      </c>
      <c r="D719" s="59" t="s">
        <v>150</v>
      </c>
      <c r="E719" s="57" t="s">
        <v>1417</v>
      </c>
      <c r="F719" s="54" t="s">
        <v>150</v>
      </c>
      <c r="G719" s="54" t="s">
        <v>164</v>
      </c>
      <c r="H719" s="54">
        <v>5</v>
      </c>
      <c r="I719" s="54">
        <v>0</v>
      </c>
      <c r="J719" s="54">
        <v>0</v>
      </c>
      <c r="K719" s="54">
        <v>14</v>
      </c>
      <c r="L719" s="23"/>
      <c r="N719" t="s">
        <v>161</v>
      </c>
    </row>
    <row r="720" spans="2:14" x14ac:dyDescent="0.25">
      <c r="B720" t="s">
        <v>161</v>
      </c>
      <c r="C720" s="58" t="s">
        <v>1418</v>
      </c>
      <c r="D720" s="59" t="s">
        <v>150</v>
      </c>
      <c r="E720" s="57" t="s">
        <v>1419</v>
      </c>
      <c r="F720" s="54" t="s">
        <v>150</v>
      </c>
      <c r="G720" s="54" t="s">
        <v>164</v>
      </c>
      <c r="H720" s="54">
        <v>5</v>
      </c>
      <c r="I720" s="54">
        <v>0</v>
      </c>
      <c r="J720" s="54">
        <v>0</v>
      </c>
      <c r="K720" s="54">
        <v>14</v>
      </c>
      <c r="L720" s="23"/>
      <c r="N720" t="s">
        <v>161</v>
      </c>
    </row>
    <row r="721" spans="2:14" x14ac:dyDescent="0.25">
      <c r="B721" t="s">
        <v>161</v>
      </c>
      <c r="C721" s="58" t="s">
        <v>1420</v>
      </c>
      <c r="D721" s="59" t="s">
        <v>150</v>
      </c>
      <c r="E721" s="57" t="s">
        <v>1421</v>
      </c>
      <c r="F721" s="54" t="s">
        <v>150</v>
      </c>
      <c r="G721" s="54" t="s">
        <v>164</v>
      </c>
      <c r="H721" s="54">
        <v>5</v>
      </c>
      <c r="I721" s="54">
        <v>0</v>
      </c>
      <c r="J721" s="54">
        <v>0</v>
      </c>
      <c r="K721" s="54">
        <v>14</v>
      </c>
      <c r="L721" s="23"/>
      <c r="N721" t="s">
        <v>161</v>
      </c>
    </row>
    <row r="722" spans="2:14" x14ac:dyDescent="0.25">
      <c r="B722" t="s">
        <v>161</v>
      </c>
      <c r="C722" s="58" t="s">
        <v>1422</v>
      </c>
      <c r="D722" s="59" t="s">
        <v>150</v>
      </c>
      <c r="E722" s="57" t="s">
        <v>1423</v>
      </c>
      <c r="F722" s="54" t="s">
        <v>150</v>
      </c>
      <c r="G722" s="54" t="s">
        <v>164</v>
      </c>
      <c r="H722" s="54">
        <v>5</v>
      </c>
      <c r="I722" s="54">
        <v>0</v>
      </c>
      <c r="J722" s="54">
        <v>0</v>
      </c>
      <c r="K722" s="54">
        <v>14</v>
      </c>
      <c r="L722" s="23"/>
      <c r="N722" t="s">
        <v>161</v>
      </c>
    </row>
    <row r="723" spans="2:14" x14ac:dyDescent="0.25">
      <c r="B723" t="s">
        <v>161</v>
      </c>
      <c r="C723" s="58" t="s">
        <v>1424</v>
      </c>
      <c r="D723" s="59" t="s">
        <v>150</v>
      </c>
      <c r="E723" s="57" t="s">
        <v>1425</v>
      </c>
      <c r="F723" s="54" t="s">
        <v>150</v>
      </c>
      <c r="G723" s="54" t="s">
        <v>164</v>
      </c>
      <c r="H723" s="54">
        <v>5</v>
      </c>
      <c r="I723" s="54">
        <v>0</v>
      </c>
      <c r="J723" s="54">
        <v>0</v>
      </c>
      <c r="K723" s="54">
        <v>14</v>
      </c>
      <c r="L723" s="23"/>
      <c r="N723" t="s">
        <v>161</v>
      </c>
    </row>
    <row r="724" spans="2:14" x14ac:dyDescent="0.25">
      <c r="B724" t="s">
        <v>161</v>
      </c>
      <c r="C724" s="58" t="s">
        <v>1426</v>
      </c>
      <c r="D724" s="59" t="s">
        <v>150</v>
      </c>
      <c r="E724" s="57" t="s">
        <v>885</v>
      </c>
      <c r="F724" s="54" t="s">
        <v>150</v>
      </c>
      <c r="G724" s="54" t="s">
        <v>164</v>
      </c>
      <c r="H724" s="54">
        <v>5</v>
      </c>
      <c r="I724" s="54">
        <v>0</v>
      </c>
      <c r="J724" s="54">
        <v>0</v>
      </c>
      <c r="K724" s="54">
        <v>14</v>
      </c>
      <c r="L724" s="23"/>
      <c r="N724" t="s">
        <v>161</v>
      </c>
    </row>
    <row r="725" spans="2:14" x14ac:dyDescent="0.25">
      <c r="B725" t="s">
        <v>161</v>
      </c>
      <c r="C725" s="58" t="s">
        <v>1427</v>
      </c>
      <c r="D725" s="59" t="s">
        <v>150</v>
      </c>
      <c r="E725" s="57" t="s">
        <v>1425</v>
      </c>
      <c r="F725" s="54" t="s">
        <v>150</v>
      </c>
      <c r="G725" s="54" t="s">
        <v>164</v>
      </c>
      <c r="H725" s="54">
        <v>5</v>
      </c>
      <c r="I725" s="54">
        <v>0</v>
      </c>
      <c r="J725" s="54">
        <v>0</v>
      </c>
      <c r="K725" s="54">
        <v>14</v>
      </c>
      <c r="L725" s="23"/>
      <c r="N725" t="s">
        <v>161</v>
      </c>
    </row>
    <row r="726" spans="2:14" x14ac:dyDescent="0.25">
      <c r="B726" t="s">
        <v>161</v>
      </c>
      <c r="C726" s="58" t="s">
        <v>1428</v>
      </c>
      <c r="D726" s="59" t="s">
        <v>150</v>
      </c>
      <c r="E726" s="57" t="s">
        <v>885</v>
      </c>
      <c r="F726" s="54" t="s">
        <v>150</v>
      </c>
      <c r="G726" s="54" t="s">
        <v>164</v>
      </c>
      <c r="H726" s="54">
        <v>5</v>
      </c>
      <c r="I726" s="54">
        <v>0</v>
      </c>
      <c r="J726" s="54">
        <v>0</v>
      </c>
      <c r="K726" s="54">
        <v>14</v>
      </c>
      <c r="L726" s="23"/>
      <c r="N726" t="s">
        <v>161</v>
      </c>
    </row>
    <row r="727" spans="2:14" x14ac:dyDescent="0.25">
      <c r="B727" t="s">
        <v>161</v>
      </c>
      <c r="C727" s="58" t="s">
        <v>1429</v>
      </c>
      <c r="D727" s="59" t="s">
        <v>150</v>
      </c>
      <c r="E727" s="57" t="s">
        <v>1430</v>
      </c>
      <c r="F727" s="54" t="s">
        <v>150</v>
      </c>
      <c r="G727" s="54" t="s">
        <v>164</v>
      </c>
      <c r="H727" s="54">
        <v>5</v>
      </c>
      <c r="I727" s="54">
        <v>0</v>
      </c>
      <c r="J727" s="54">
        <v>0</v>
      </c>
      <c r="K727" s="54">
        <v>14</v>
      </c>
      <c r="L727" s="23"/>
      <c r="N727" t="s">
        <v>161</v>
      </c>
    </row>
    <row r="728" spans="2:14" x14ac:dyDescent="0.25">
      <c r="B728" t="s">
        <v>161</v>
      </c>
      <c r="C728" s="58" t="s">
        <v>1431</v>
      </c>
      <c r="D728" s="59" t="s">
        <v>150</v>
      </c>
      <c r="E728" s="57" t="s">
        <v>1432</v>
      </c>
      <c r="F728" s="54" t="s">
        <v>150</v>
      </c>
      <c r="G728" s="54" t="s">
        <v>164</v>
      </c>
      <c r="H728" s="54">
        <v>5</v>
      </c>
      <c r="I728" s="54">
        <v>0</v>
      </c>
      <c r="J728" s="54">
        <v>0</v>
      </c>
      <c r="K728" s="54">
        <v>14</v>
      </c>
      <c r="L728" s="23"/>
      <c r="N728" t="s">
        <v>161</v>
      </c>
    </row>
    <row r="729" spans="2:14" x14ac:dyDescent="0.25">
      <c r="B729" t="s">
        <v>161</v>
      </c>
      <c r="C729" s="58" t="s">
        <v>1433</v>
      </c>
      <c r="D729" s="59" t="s">
        <v>150</v>
      </c>
      <c r="E729" s="57" t="s">
        <v>234</v>
      </c>
      <c r="F729" s="54" t="s">
        <v>150</v>
      </c>
      <c r="G729" s="54" t="s">
        <v>164</v>
      </c>
      <c r="H729" s="54">
        <v>5</v>
      </c>
      <c r="I729" s="54">
        <v>0</v>
      </c>
      <c r="J729" s="54">
        <v>0</v>
      </c>
      <c r="K729" s="54">
        <v>14</v>
      </c>
      <c r="L729" s="23"/>
      <c r="N729" t="s">
        <v>161</v>
      </c>
    </row>
    <row r="730" spans="2:14" x14ac:dyDescent="0.25">
      <c r="B730" t="s">
        <v>161</v>
      </c>
      <c r="C730" s="58" t="s">
        <v>1434</v>
      </c>
      <c r="D730" s="59" t="s">
        <v>150</v>
      </c>
      <c r="E730" s="57" t="s">
        <v>236</v>
      </c>
      <c r="F730" s="54" t="s">
        <v>150</v>
      </c>
      <c r="G730" s="54" t="s">
        <v>164</v>
      </c>
      <c r="H730" s="54">
        <v>5</v>
      </c>
      <c r="I730" s="54">
        <v>0</v>
      </c>
      <c r="J730" s="54">
        <v>0</v>
      </c>
      <c r="K730" s="54">
        <v>14</v>
      </c>
      <c r="L730" s="23"/>
      <c r="N730" t="s">
        <v>161</v>
      </c>
    </row>
    <row r="731" spans="2:14" x14ac:dyDescent="0.25">
      <c r="B731" t="s">
        <v>161</v>
      </c>
      <c r="C731" s="58" t="s">
        <v>1435</v>
      </c>
      <c r="D731" s="59" t="s">
        <v>150</v>
      </c>
      <c r="E731" s="57" t="s">
        <v>1436</v>
      </c>
      <c r="F731" s="54" t="s">
        <v>150</v>
      </c>
      <c r="G731" s="54" t="s">
        <v>164</v>
      </c>
      <c r="H731" s="54">
        <v>5</v>
      </c>
      <c r="I731" s="54">
        <v>0</v>
      </c>
      <c r="J731" s="54">
        <v>0</v>
      </c>
      <c r="K731" s="54">
        <v>14</v>
      </c>
      <c r="L731" s="23"/>
      <c r="N731" t="s">
        <v>161</v>
      </c>
    </row>
    <row r="732" spans="2:14" x14ac:dyDescent="0.25">
      <c r="B732" t="s">
        <v>161</v>
      </c>
      <c r="C732" s="58" t="s">
        <v>1437</v>
      </c>
      <c r="D732" s="59" t="s">
        <v>150</v>
      </c>
      <c r="E732" s="57" t="s">
        <v>1438</v>
      </c>
      <c r="F732" s="54" t="s">
        <v>150</v>
      </c>
      <c r="G732" s="54" t="s">
        <v>164</v>
      </c>
      <c r="H732" s="54">
        <v>5</v>
      </c>
      <c r="I732" s="54">
        <v>0</v>
      </c>
      <c r="J732" s="54">
        <v>0</v>
      </c>
      <c r="K732" s="54">
        <v>14</v>
      </c>
      <c r="L732" s="23"/>
      <c r="N732" t="s">
        <v>161</v>
      </c>
    </row>
    <row r="733" spans="2:14" x14ac:dyDescent="0.25">
      <c r="B733" t="s">
        <v>161</v>
      </c>
      <c r="C733" s="58" t="s">
        <v>1439</v>
      </c>
      <c r="D733" s="59" t="s">
        <v>150</v>
      </c>
      <c r="E733" s="57" t="s">
        <v>172</v>
      </c>
      <c r="F733" s="54" t="s">
        <v>150</v>
      </c>
      <c r="G733" s="54" t="s">
        <v>164</v>
      </c>
      <c r="H733" s="54">
        <v>5</v>
      </c>
      <c r="I733" s="54">
        <v>0</v>
      </c>
      <c r="J733" s="54">
        <v>0</v>
      </c>
      <c r="K733" s="54">
        <v>14</v>
      </c>
      <c r="L733" s="23"/>
      <c r="N733" t="s">
        <v>161</v>
      </c>
    </row>
    <row r="734" spans="2:14" x14ac:dyDescent="0.25">
      <c r="B734" t="s">
        <v>161</v>
      </c>
      <c r="C734" s="58" t="s">
        <v>1440</v>
      </c>
      <c r="D734" s="59" t="s">
        <v>150</v>
      </c>
      <c r="E734" s="57" t="s">
        <v>174</v>
      </c>
      <c r="F734" s="54" t="s">
        <v>150</v>
      </c>
      <c r="G734" s="54" t="s">
        <v>164</v>
      </c>
      <c r="H734" s="54">
        <v>5</v>
      </c>
      <c r="I734" s="54">
        <v>0</v>
      </c>
      <c r="J734" s="54">
        <v>0</v>
      </c>
      <c r="K734" s="54">
        <v>14</v>
      </c>
      <c r="L734" s="23"/>
      <c r="N734" t="s">
        <v>161</v>
      </c>
    </row>
    <row r="735" spans="2:14" x14ac:dyDescent="0.25">
      <c r="B735" t="s">
        <v>161</v>
      </c>
      <c r="C735" s="58" t="s">
        <v>1441</v>
      </c>
      <c r="D735" s="59" t="s">
        <v>150</v>
      </c>
      <c r="E735" s="57" t="s">
        <v>1337</v>
      </c>
      <c r="F735" s="54" t="s">
        <v>150</v>
      </c>
      <c r="G735" s="54" t="s">
        <v>164</v>
      </c>
      <c r="H735" s="54">
        <v>5</v>
      </c>
      <c r="I735" s="54">
        <v>0</v>
      </c>
      <c r="J735" s="54">
        <v>0</v>
      </c>
      <c r="K735" s="54">
        <v>14</v>
      </c>
      <c r="L735" s="23"/>
      <c r="N735" t="s">
        <v>161</v>
      </c>
    </row>
    <row r="736" spans="2:14" x14ac:dyDescent="0.25">
      <c r="B736" t="s">
        <v>161</v>
      </c>
      <c r="C736" s="58" t="s">
        <v>1442</v>
      </c>
      <c r="D736" s="59" t="s">
        <v>150</v>
      </c>
      <c r="E736" s="57" t="s">
        <v>1339</v>
      </c>
      <c r="F736" s="54" t="s">
        <v>150</v>
      </c>
      <c r="G736" s="54" t="s">
        <v>164</v>
      </c>
      <c r="H736" s="54">
        <v>5</v>
      </c>
      <c r="I736" s="54">
        <v>0</v>
      </c>
      <c r="J736" s="54">
        <v>0</v>
      </c>
      <c r="K736" s="54">
        <v>14</v>
      </c>
      <c r="L736" s="23"/>
      <c r="N736" t="s">
        <v>161</v>
      </c>
    </row>
    <row r="737" spans="2:14" x14ac:dyDescent="0.25">
      <c r="B737" t="s">
        <v>161</v>
      </c>
      <c r="C737" s="58" t="s">
        <v>1443</v>
      </c>
      <c r="D737" s="59" t="s">
        <v>150</v>
      </c>
      <c r="E737" s="57" t="s">
        <v>280</v>
      </c>
      <c r="F737" s="54" t="s">
        <v>150</v>
      </c>
      <c r="G737" s="54" t="s">
        <v>164</v>
      </c>
      <c r="H737" s="54">
        <v>5</v>
      </c>
      <c r="I737" s="54">
        <v>0</v>
      </c>
      <c r="J737" s="54">
        <v>0</v>
      </c>
      <c r="K737" s="54">
        <v>14</v>
      </c>
      <c r="L737" s="23"/>
      <c r="N737" t="s">
        <v>161</v>
      </c>
    </row>
    <row r="738" spans="2:14" x14ac:dyDescent="0.25">
      <c r="B738" t="s">
        <v>161</v>
      </c>
      <c r="C738" s="58" t="s">
        <v>1444</v>
      </c>
      <c r="D738" s="59" t="s">
        <v>150</v>
      </c>
      <c r="E738" s="57" t="s">
        <v>282</v>
      </c>
      <c r="F738" s="54" t="s">
        <v>150</v>
      </c>
      <c r="G738" s="54" t="s">
        <v>164</v>
      </c>
      <c r="H738" s="54">
        <v>5</v>
      </c>
      <c r="I738" s="54">
        <v>0</v>
      </c>
      <c r="J738" s="54">
        <v>0</v>
      </c>
      <c r="K738" s="54">
        <v>14</v>
      </c>
      <c r="L738" s="23"/>
      <c r="N738" t="s">
        <v>161</v>
      </c>
    </row>
    <row r="739" spans="2:14" x14ac:dyDescent="0.25">
      <c r="B739" t="s">
        <v>161</v>
      </c>
      <c r="C739" s="58" t="s">
        <v>1445</v>
      </c>
      <c r="D739" s="59" t="s">
        <v>150</v>
      </c>
      <c r="E739" s="57" t="s">
        <v>1397</v>
      </c>
      <c r="F739" s="54" t="s">
        <v>150</v>
      </c>
      <c r="G739" s="54" t="s">
        <v>164</v>
      </c>
      <c r="H739" s="54">
        <v>5</v>
      </c>
      <c r="I739" s="54">
        <v>0</v>
      </c>
      <c r="J739" s="54">
        <v>0</v>
      </c>
      <c r="K739" s="54">
        <v>14</v>
      </c>
      <c r="L739" s="23"/>
      <c r="N739" t="s">
        <v>161</v>
      </c>
    </row>
    <row r="740" spans="2:14" x14ac:dyDescent="0.25">
      <c r="B740" t="s">
        <v>161</v>
      </c>
      <c r="C740" s="58" t="s">
        <v>1446</v>
      </c>
      <c r="D740" s="59" t="s">
        <v>150</v>
      </c>
      <c r="E740" s="57" t="s">
        <v>1399</v>
      </c>
      <c r="F740" s="54" t="s">
        <v>150</v>
      </c>
      <c r="G740" s="54" t="s">
        <v>164</v>
      </c>
      <c r="H740" s="54">
        <v>5</v>
      </c>
      <c r="I740" s="54">
        <v>0</v>
      </c>
      <c r="J740" s="54">
        <v>0</v>
      </c>
      <c r="K740" s="54">
        <v>14</v>
      </c>
      <c r="L740" s="23"/>
      <c r="N740" t="s">
        <v>161</v>
      </c>
    </row>
    <row r="741" spans="2:14" x14ac:dyDescent="0.25">
      <c r="B741" t="s">
        <v>161</v>
      </c>
      <c r="C741" s="58" t="s">
        <v>1447</v>
      </c>
      <c r="D741" s="59" t="s">
        <v>150</v>
      </c>
      <c r="E741" s="57" t="s">
        <v>831</v>
      </c>
      <c r="F741" s="54" t="s">
        <v>150</v>
      </c>
      <c r="G741" s="54" t="s">
        <v>164</v>
      </c>
      <c r="H741" s="54">
        <v>5</v>
      </c>
      <c r="I741" s="54">
        <v>0</v>
      </c>
      <c r="J741" s="54">
        <v>0</v>
      </c>
      <c r="K741" s="54">
        <v>14</v>
      </c>
      <c r="L741" s="23"/>
      <c r="N741" t="s">
        <v>161</v>
      </c>
    </row>
    <row r="742" spans="2:14" x14ac:dyDescent="0.25">
      <c r="B742" t="s">
        <v>161</v>
      </c>
      <c r="C742" s="58" t="s">
        <v>1448</v>
      </c>
      <c r="D742" s="59" t="s">
        <v>150</v>
      </c>
      <c r="E742" s="57" t="s">
        <v>833</v>
      </c>
      <c r="F742" s="54" t="s">
        <v>150</v>
      </c>
      <c r="G742" s="54" t="s">
        <v>164</v>
      </c>
      <c r="H742" s="54">
        <v>5</v>
      </c>
      <c r="I742" s="54">
        <v>0</v>
      </c>
      <c r="J742" s="54">
        <v>0</v>
      </c>
      <c r="K742" s="54">
        <v>14</v>
      </c>
      <c r="L742" s="23"/>
      <c r="N742" t="s">
        <v>161</v>
      </c>
    </row>
    <row r="743" spans="2:14" x14ac:dyDescent="0.25">
      <c r="B743" t="s">
        <v>161</v>
      </c>
      <c r="C743" s="58" t="s">
        <v>1449</v>
      </c>
      <c r="D743" s="59" t="s">
        <v>150</v>
      </c>
      <c r="E743" s="57" t="s">
        <v>222</v>
      </c>
      <c r="F743" s="54" t="s">
        <v>150</v>
      </c>
      <c r="G743" s="54" t="s">
        <v>164</v>
      </c>
      <c r="H743" s="54">
        <v>5</v>
      </c>
      <c r="I743" s="54">
        <v>0</v>
      </c>
      <c r="J743" s="54">
        <v>0</v>
      </c>
      <c r="K743" s="54">
        <v>14</v>
      </c>
      <c r="L743" s="23"/>
      <c r="N743" t="s">
        <v>161</v>
      </c>
    </row>
    <row r="744" spans="2:14" x14ac:dyDescent="0.25">
      <c r="B744" t="s">
        <v>161</v>
      </c>
      <c r="C744" s="58" t="s">
        <v>1450</v>
      </c>
      <c r="D744" s="59" t="s">
        <v>150</v>
      </c>
      <c r="E744" s="57" t="s">
        <v>224</v>
      </c>
      <c r="F744" s="54" t="s">
        <v>150</v>
      </c>
      <c r="G744" s="54" t="s">
        <v>164</v>
      </c>
      <c r="H744" s="54">
        <v>5</v>
      </c>
      <c r="I744" s="54">
        <v>0</v>
      </c>
      <c r="J744" s="54">
        <v>0</v>
      </c>
      <c r="K744" s="54">
        <v>14</v>
      </c>
      <c r="L744" s="23"/>
      <c r="N744" t="s">
        <v>161</v>
      </c>
    </row>
    <row r="745" spans="2:14" x14ac:dyDescent="0.25">
      <c r="B745" t="s">
        <v>161</v>
      </c>
      <c r="C745" s="58" t="s">
        <v>1451</v>
      </c>
      <c r="D745" s="59" t="s">
        <v>150</v>
      </c>
      <c r="E745" s="57" t="s">
        <v>1452</v>
      </c>
      <c r="F745" s="54" t="s">
        <v>150</v>
      </c>
      <c r="G745" s="54" t="s">
        <v>164</v>
      </c>
      <c r="H745" s="54">
        <v>5</v>
      </c>
      <c r="I745" s="54">
        <v>0</v>
      </c>
      <c r="J745" s="54">
        <v>0</v>
      </c>
      <c r="K745" s="54">
        <v>14</v>
      </c>
      <c r="L745" s="23"/>
      <c r="N745" t="s">
        <v>161</v>
      </c>
    </row>
    <row r="746" spans="2:14" x14ac:dyDescent="0.25">
      <c r="B746" t="s">
        <v>161</v>
      </c>
      <c r="C746" s="58" t="s">
        <v>1453</v>
      </c>
      <c r="D746" s="59" t="s">
        <v>150</v>
      </c>
      <c r="E746" s="57" t="s">
        <v>1454</v>
      </c>
      <c r="F746" s="54" t="s">
        <v>150</v>
      </c>
      <c r="G746" s="54" t="s">
        <v>164</v>
      </c>
      <c r="H746" s="54">
        <v>5</v>
      </c>
      <c r="I746" s="54">
        <v>0</v>
      </c>
      <c r="J746" s="54">
        <v>0</v>
      </c>
      <c r="K746" s="54">
        <v>14</v>
      </c>
      <c r="L746" s="23"/>
      <c r="N746" t="s">
        <v>161</v>
      </c>
    </row>
    <row r="747" spans="2:14" x14ac:dyDescent="0.25">
      <c r="B747" t="s">
        <v>161</v>
      </c>
      <c r="C747" s="58" t="s">
        <v>1455</v>
      </c>
      <c r="D747" s="59" t="s">
        <v>150</v>
      </c>
      <c r="E747" s="57" t="s">
        <v>1341</v>
      </c>
      <c r="F747" s="54" t="s">
        <v>150</v>
      </c>
      <c r="G747" s="54" t="s">
        <v>164</v>
      </c>
      <c r="H747" s="54">
        <v>5</v>
      </c>
      <c r="I747" s="54">
        <v>0</v>
      </c>
      <c r="J747" s="54">
        <v>0</v>
      </c>
      <c r="K747" s="54">
        <v>14</v>
      </c>
      <c r="L747" s="23"/>
      <c r="N747" t="s">
        <v>161</v>
      </c>
    </row>
    <row r="748" spans="2:14" x14ac:dyDescent="0.25">
      <c r="B748" t="s">
        <v>161</v>
      </c>
      <c r="C748" s="58" t="s">
        <v>1456</v>
      </c>
      <c r="D748" s="59" t="s">
        <v>150</v>
      </c>
      <c r="E748" s="57" t="s">
        <v>1343</v>
      </c>
      <c r="F748" s="54" t="s">
        <v>150</v>
      </c>
      <c r="G748" s="54" t="s">
        <v>164</v>
      </c>
      <c r="H748" s="54">
        <v>5</v>
      </c>
      <c r="I748" s="54">
        <v>0</v>
      </c>
      <c r="J748" s="54">
        <v>0</v>
      </c>
      <c r="K748" s="54">
        <v>14</v>
      </c>
      <c r="L748" s="23"/>
      <c r="N748" t="s">
        <v>161</v>
      </c>
    </row>
    <row r="749" spans="2:14" x14ac:dyDescent="0.25">
      <c r="B749" t="s">
        <v>161</v>
      </c>
      <c r="C749" s="58" t="s">
        <v>1457</v>
      </c>
      <c r="D749" s="59" t="s">
        <v>150</v>
      </c>
      <c r="E749" s="57" t="s">
        <v>1458</v>
      </c>
      <c r="F749" s="54" t="s">
        <v>150</v>
      </c>
      <c r="G749" s="54" t="s">
        <v>164</v>
      </c>
      <c r="H749" s="54">
        <v>5</v>
      </c>
      <c r="I749" s="54">
        <v>0</v>
      </c>
      <c r="J749" s="54">
        <v>0</v>
      </c>
      <c r="K749" s="54">
        <v>14</v>
      </c>
      <c r="L749" s="23"/>
      <c r="N749" t="s">
        <v>161</v>
      </c>
    </row>
    <row r="750" spans="2:14" x14ac:dyDescent="0.25">
      <c r="B750" t="s">
        <v>161</v>
      </c>
      <c r="C750" s="58" t="s">
        <v>1459</v>
      </c>
      <c r="D750" s="59" t="s">
        <v>150</v>
      </c>
      <c r="E750" s="57" t="s">
        <v>1460</v>
      </c>
      <c r="F750" s="54" t="s">
        <v>150</v>
      </c>
      <c r="G750" s="54" t="s">
        <v>164</v>
      </c>
      <c r="H750" s="54">
        <v>5</v>
      </c>
      <c r="I750" s="54">
        <v>0</v>
      </c>
      <c r="J750" s="54">
        <v>0</v>
      </c>
      <c r="K750" s="54">
        <v>14</v>
      </c>
      <c r="L750" s="23"/>
      <c r="N750" t="s">
        <v>161</v>
      </c>
    </row>
    <row r="751" spans="2:14" x14ac:dyDescent="0.25">
      <c r="B751" t="s">
        <v>161</v>
      </c>
      <c r="C751" s="58" t="s">
        <v>1461</v>
      </c>
      <c r="D751" s="59" t="s">
        <v>150</v>
      </c>
      <c r="E751" s="57" t="s">
        <v>1257</v>
      </c>
      <c r="F751" s="54" t="s">
        <v>150</v>
      </c>
      <c r="G751" s="54" t="s">
        <v>164</v>
      </c>
      <c r="H751" s="54">
        <v>5</v>
      </c>
      <c r="I751" s="54">
        <v>0</v>
      </c>
      <c r="J751" s="54">
        <v>14.8</v>
      </c>
      <c r="K751" s="54">
        <v>14</v>
      </c>
      <c r="L751" s="23"/>
      <c r="N751" t="s">
        <v>161</v>
      </c>
    </row>
    <row r="752" spans="2:14" x14ac:dyDescent="0.25">
      <c r="B752" t="s">
        <v>161</v>
      </c>
      <c r="C752" s="58" t="s">
        <v>1462</v>
      </c>
      <c r="D752" s="59" t="s">
        <v>150</v>
      </c>
      <c r="E752" s="57" t="s">
        <v>1259</v>
      </c>
      <c r="F752" s="54" t="s">
        <v>150</v>
      </c>
      <c r="G752" s="54" t="s">
        <v>164</v>
      </c>
      <c r="H752" s="54">
        <v>5</v>
      </c>
      <c r="I752" s="54">
        <v>0</v>
      </c>
      <c r="J752" s="54">
        <v>14.5</v>
      </c>
      <c r="K752" s="54">
        <v>14</v>
      </c>
      <c r="L752" s="23"/>
      <c r="N752" t="s">
        <v>161</v>
      </c>
    </row>
    <row r="753" spans="2:14" x14ac:dyDescent="0.25">
      <c r="B753" t="s">
        <v>161</v>
      </c>
      <c r="C753" s="58" t="s">
        <v>1463</v>
      </c>
      <c r="D753" s="59" t="s">
        <v>150</v>
      </c>
      <c r="E753" s="57" t="s">
        <v>1430</v>
      </c>
      <c r="F753" s="54" t="s">
        <v>150</v>
      </c>
      <c r="G753" s="54" t="s">
        <v>164</v>
      </c>
      <c r="H753" s="54">
        <v>5</v>
      </c>
      <c r="I753" s="54">
        <v>0</v>
      </c>
      <c r="J753" s="54">
        <v>0</v>
      </c>
      <c r="K753" s="54">
        <v>14</v>
      </c>
      <c r="L753" s="23"/>
      <c r="N753" t="s">
        <v>161</v>
      </c>
    </row>
    <row r="754" spans="2:14" x14ac:dyDescent="0.25">
      <c r="B754" t="s">
        <v>161</v>
      </c>
      <c r="C754" s="58" t="s">
        <v>1464</v>
      </c>
      <c r="D754" s="59" t="s">
        <v>150</v>
      </c>
      <c r="E754" s="57" t="s">
        <v>1432</v>
      </c>
      <c r="F754" s="54" t="s">
        <v>150</v>
      </c>
      <c r="G754" s="54" t="s">
        <v>164</v>
      </c>
      <c r="H754" s="54">
        <v>5</v>
      </c>
      <c r="I754" s="54">
        <v>0</v>
      </c>
      <c r="J754" s="54">
        <v>0</v>
      </c>
      <c r="K754" s="54">
        <v>14</v>
      </c>
      <c r="L754" s="23"/>
      <c r="N754" t="s">
        <v>161</v>
      </c>
    </row>
    <row r="755" spans="2:14" x14ac:dyDescent="0.25">
      <c r="B755" t="s">
        <v>161</v>
      </c>
      <c r="C755" s="58" t="s">
        <v>1465</v>
      </c>
      <c r="D755" s="59" t="s">
        <v>150</v>
      </c>
      <c r="E755" s="57" t="s">
        <v>793</v>
      </c>
      <c r="F755" s="54" t="s">
        <v>150</v>
      </c>
      <c r="G755" s="54" t="s">
        <v>164</v>
      </c>
      <c r="H755" s="54">
        <v>5</v>
      </c>
      <c r="I755" s="54">
        <v>0</v>
      </c>
      <c r="J755" s="54">
        <v>0</v>
      </c>
      <c r="K755" s="54">
        <v>14</v>
      </c>
      <c r="L755" s="23"/>
      <c r="N755" t="s">
        <v>161</v>
      </c>
    </row>
    <row r="756" spans="2:14" x14ac:dyDescent="0.25">
      <c r="B756" t="s">
        <v>161</v>
      </c>
      <c r="C756" s="58" t="s">
        <v>1466</v>
      </c>
      <c r="D756" s="59" t="s">
        <v>150</v>
      </c>
      <c r="E756" s="57" t="s">
        <v>795</v>
      </c>
      <c r="F756" s="54" t="s">
        <v>150</v>
      </c>
      <c r="G756" s="54" t="s">
        <v>164</v>
      </c>
      <c r="H756" s="54">
        <v>5</v>
      </c>
      <c r="I756" s="54">
        <v>0</v>
      </c>
      <c r="J756" s="54">
        <v>0</v>
      </c>
      <c r="K756" s="54">
        <v>14</v>
      </c>
      <c r="L756" s="23"/>
      <c r="N756" t="s">
        <v>161</v>
      </c>
    </row>
    <row r="757" spans="2:14" x14ac:dyDescent="0.25">
      <c r="B757" t="s">
        <v>161</v>
      </c>
      <c r="C757" s="58" t="s">
        <v>1467</v>
      </c>
      <c r="D757" s="59" t="s">
        <v>150</v>
      </c>
      <c r="E757" s="57" t="s">
        <v>1397</v>
      </c>
      <c r="F757" s="54" t="s">
        <v>150</v>
      </c>
      <c r="G757" s="54" t="s">
        <v>164</v>
      </c>
      <c r="H757" s="54">
        <v>5</v>
      </c>
      <c r="I757" s="54">
        <v>0</v>
      </c>
      <c r="J757" s="54">
        <v>0</v>
      </c>
      <c r="K757" s="54">
        <v>14</v>
      </c>
      <c r="L757" s="23"/>
      <c r="N757" t="s">
        <v>161</v>
      </c>
    </row>
    <row r="758" spans="2:14" x14ac:dyDescent="0.25">
      <c r="B758" t="s">
        <v>161</v>
      </c>
      <c r="C758" s="58" t="s">
        <v>1468</v>
      </c>
      <c r="D758" s="59" t="s">
        <v>150</v>
      </c>
      <c r="E758" s="57" t="s">
        <v>1399</v>
      </c>
      <c r="F758" s="54" t="s">
        <v>150</v>
      </c>
      <c r="G758" s="54" t="s">
        <v>164</v>
      </c>
      <c r="H758" s="54">
        <v>5</v>
      </c>
      <c r="I758" s="54">
        <v>0</v>
      </c>
      <c r="J758" s="54">
        <v>0</v>
      </c>
      <c r="K758" s="54">
        <v>14</v>
      </c>
      <c r="L758" s="23"/>
      <c r="N758" t="s">
        <v>161</v>
      </c>
    </row>
    <row r="759" spans="2:14" x14ac:dyDescent="0.25">
      <c r="B759" t="s">
        <v>161</v>
      </c>
      <c r="C759" s="58" t="s">
        <v>1469</v>
      </c>
      <c r="D759" s="59" t="s">
        <v>150</v>
      </c>
      <c r="E759" s="57" t="s">
        <v>1470</v>
      </c>
      <c r="F759" s="54" t="s">
        <v>150</v>
      </c>
      <c r="G759" s="54" t="s">
        <v>164</v>
      </c>
      <c r="H759" s="54">
        <v>5</v>
      </c>
      <c r="I759" s="54">
        <v>0</v>
      </c>
      <c r="J759" s="54">
        <v>0</v>
      </c>
      <c r="K759" s="54">
        <v>14</v>
      </c>
      <c r="L759" s="23"/>
      <c r="N759" t="s">
        <v>161</v>
      </c>
    </row>
    <row r="760" spans="2:14" x14ac:dyDescent="0.25">
      <c r="B760" t="s">
        <v>161</v>
      </c>
      <c r="C760" s="58" t="s">
        <v>1471</v>
      </c>
      <c r="D760" s="59" t="s">
        <v>150</v>
      </c>
      <c r="E760" s="57" t="s">
        <v>1472</v>
      </c>
      <c r="F760" s="54" t="s">
        <v>150</v>
      </c>
      <c r="G760" s="54" t="s">
        <v>164</v>
      </c>
      <c r="H760" s="54">
        <v>5</v>
      </c>
      <c r="I760" s="54">
        <v>0</v>
      </c>
      <c r="J760" s="54">
        <v>0</v>
      </c>
      <c r="K760" s="54">
        <v>14</v>
      </c>
      <c r="L760" s="23"/>
      <c r="N760" t="s">
        <v>161</v>
      </c>
    </row>
    <row r="761" spans="2:14" x14ac:dyDescent="0.25">
      <c r="B761" t="s">
        <v>161</v>
      </c>
      <c r="C761" s="58" t="s">
        <v>1473</v>
      </c>
      <c r="D761" s="59" t="s">
        <v>150</v>
      </c>
      <c r="E761" s="57" t="s">
        <v>1307</v>
      </c>
      <c r="F761" s="54" t="s">
        <v>150</v>
      </c>
      <c r="G761" s="54" t="s">
        <v>164</v>
      </c>
      <c r="H761" s="54">
        <v>5</v>
      </c>
      <c r="I761" s="54">
        <v>0</v>
      </c>
      <c r="J761" s="54">
        <v>0</v>
      </c>
      <c r="K761" s="54">
        <v>14</v>
      </c>
      <c r="L761" s="23"/>
      <c r="N761" t="s">
        <v>161</v>
      </c>
    </row>
    <row r="762" spans="2:14" x14ac:dyDescent="0.25">
      <c r="B762" t="s">
        <v>161</v>
      </c>
      <c r="C762" s="58" t="s">
        <v>1474</v>
      </c>
      <c r="D762" s="59" t="s">
        <v>150</v>
      </c>
      <c r="E762" s="57" t="s">
        <v>1309</v>
      </c>
      <c r="F762" s="54" t="s">
        <v>150</v>
      </c>
      <c r="G762" s="54" t="s">
        <v>164</v>
      </c>
      <c r="H762" s="54">
        <v>5</v>
      </c>
      <c r="I762" s="54">
        <v>0</v>
      </c>
      <c r="J762" s="54">
        <v>0</v>
      </c>
      <c r="K762" s="54">
        <v>14</v>
      </c>
      <c r="L762" s="23"/>
      <c r="N762" t="s">
        <v>161</v>
      </c>
    </row>
    <row r="763" spans="2:14" x14ac:dyDescent="0.25">
      <c r="B763" t="s">
        <v>161</v>
      </c>
      <c r="C763" s="58" t="s">
        <v>1475</v>
      </c>
      <c r="D763" s="59" t="s">
        <v>150</v>
      </c>
      <c r="E763" s="57" t="s">
        <v>1476</v>
      </c>
      <c r="F763" s="54" t="s">
        <v>150</v>
      </c>
      <c r="G763" s="54" t="s">
        <v>164</v>
      </c>
      <c r="H763" s="54">
        <v>5</v>
      </c>
      <c r="I763" s="54">
        <v>0</v>
      </c>
      <c r="J763" s="54">
        <v>0</v>
      </c>
      <c r="K763" s="54">
        <v>14</v>
      </c>
      <c r="L763" s="23"/>
      <c r="N763" t="s">
        <v>161</v>
      </c>
    </row>
    <row r="764" spans="2:14" x14ac:dyDescent="0.25">
      <c r="B764" t="s">
        <v>161</v>
      </c>
      <c r="C764" s="58" t="s">
        <v>1477</v>
      </c>
      <c r="D764" s="59" t="s">
        <v>150</v>
      </c>
      <c r="E764" s="57" t="s">
        <v>1472</v>
      </c>
      <c r="F764" s="54" t="s">
        <v>150</v>
      </c>
      <c r="G764" s="54" t="s">
        <v>164</v>
      </c>
      <c r="H764" s="54">
        <v>5</v>
      </c>
      <c r="I764" s="54">
        <v>0</v>
      </c>
      <c r="J764" s="54">
        <v>0</v>
      </c>
      <c r="K764" s="54">
        <v>14</v>
      </c>
      <c r="L764" s="23"/>
      <c r="N764" t="s">
        <v>161</v>
      </c>
    </row>
    <row r="765" spans="2:14" x14ac:dyDescent="0.25">
      <c r="B765" t="s">
        <v>161</v>
      </c>
      <c r="C765" s="58" t="s">
        <v>1478</v>
      </c>
      <c r="D765" s="59" t="s">
        <v>150</v>
      </c>
      <c r="E765" s="57" t="s">
        <v>1333</v>
      </c>
      <c r="F765" s="54" t="s">
        <v>150</v>
      </c>
      <c r="G765" s="54" t="s">
        <v>164</v>
      </c>
      <c r="H765" s="54">
        <v>5</v>
      </c>
      <c r="I765" s="54">
        <v>0</v>
      </c>
      <c r="J765" s="54">
        <v>0</v>
      </c>
      <c r="K765" s="54">
        <v>14</v>
      </c>
      <c r="L765" s="23"/>
      <c r="N765" t="s">
        <v>161</v>
      </c>
    </row>
    <row r="766" spans="2:14" x14ac:dyDescent="0.25">
      <c r="B766" t="s">
        <v>161</v>
      </c>
      <c r="C766" s="58" t="s">
        <v>1479</v>
      </c>
      <c r="D766" s="59" t="s">
        <v>150</v>
      </c>
      <c r="E766" s="57" t="s">
        <v>1335</v>
      </c>
      <c r="F766" s="54" t="s">
        <v>150</v>
      </c>
      <c r="G766" s="54" t="s">
        <v>164</v>
      </c>
      <c r="H766" s="54">
        <v>5</v>
      </c>
      <c r="I766" s="54">
        <v>0</v>
      </c>
      <c r="J766" s="54">
        <v>0</v>
      </c>
      <c r="K766" s="54">
        <v>14</v>
      </c>
      <c r="L766" s="23"/>
      <c r="N766" t="s">
        <v>161</v>
      </c>
    </row>
    <row r="767" spans="2:14" x14ac:dyDescent="0.25">
      <c r="B767" t="s">
        <v>161</v>
      </c>
      <c r="C767" s="58" t="s">
        <v>1480</v>
      </c>
      <c r="D767" s="59" t="s">
        <v>150</v>
      </c>
      <c r="E767" s="57" t="s">
        <v>292</v>
      </c>
      <c r="F767" s="54" t="s">
        <v>150</v>
      </c>
      <c r="G767" s="54" t="s">
        <v>164</v>
      </c>
      <c r="H767" s="54">
        <v>5</v>
      </c>
      <c r="I767" s="54">
        <v>0</v>
      </c>
      <c r="J767" s="54">
        <v>0</v>
      </c>
      <c r="K767" s="54">
        <v>14</v>
      </c>
      <c r="L767" s="23"/>
      <c r="N767" t="s">
        <v>161</v>
      </c>
    </row>
    <row r="768" spans="2:14" x14ac:dyDescent="0.25">
      <c r="B768" t="s">
        <v>161</v>
      </c>
      <c r="C768" s="58" t="s">
        <v>1481</v>
      </c>
      <c r="D768" s="59" t="s">
        <v>150</v>
      </c>
      <c r="E768" s="57" t="s">
        <v>294</v>
      </c>
      <c r="F768" s="54" t="s">
        <v>150</v>
      </c>
      <c r="G768" s="54" t="s">
        <v>164</v>
      </c>
      <c r="H768" s="54">
        <v>5</v>
      </c>
      <c r="I768" s="54">
        <v>0</v>
      </c>
      <c r="J768" s="54">
        <v>0</v>
      </c>
      <c r="K768" s="54">
        <v>14</v>
      </c>
      <c r="L768" s="23"/>
      <c r="N768" t="s">
        <v>161</v>
      </c>
    </row>
    <row r="769" spans="2:14" x14ac:dyDescent="0.25">
      <c r="B769" t="s">
        <v>161</v>
      </c>
      <c r="C769" s="58" t="s">
        <v>1482</v>
      </c>
      <c r="D769" s="59" t="s">
        <v>150</v>
      </c>
      <c r="E769" s="57" t="s">
        <v>1476</v>
      </c>
      <c r="F769" s="54" t="s">
        <v>150</v>
      </c>
      <c r="G769" s="54" t="s">
        <v>164</v>
      </c>
      <c r="H769" s="54">
        <v>5</v>
      </c>
      <c r="I769" s="54">
        <v>0</v>
      </c>
      <c r="J769" s="54">
        <v>0</v>
      </c>
      <c r="K769" s="54">
        <v>14</v>
      </c>
      <c r="L769" s="23"/>
      <c r="N769" t="s">
        <v>161</v>
      </c>
    </row>
    <row r="770" spans="2:14" x14ac:dyDescent="0.25">
      <c r="B770" t="s">
        <v>161</v>
      </c>
      <c r="C770" s="58" t="s">
        <v>1483</v>
      </c>
      <c r="D770" s="59" t="s">
        <v>150</v>
      </c>
      <c r="E770" s="57" t="s">
        <v>1472</v>
      </c>
      <c r="F770" s="54" t="s">
        <v>150</v>
      </c>
      <c r="G770" s="54" t="s">
        <v>164</v>
      </c>
      <c r="H770" s="54">
        <v>5</v>
      </c>
      <c r="I770" s="54">
        <v>0</v>
      </c>
      <c r="J770" s="54">
        <v>0</v>
      </c>
      <c r="K770" s="54">
        <v>14</v>
      </c>
      <c r="L770" s="23"/>
      <c r="N770" t="s">
        <v>161</v>
      </c>
    </row>
    <row r="771" spans="2:14" x14ac:dyDescent="0.25">
      <c r="B771" t="s">
        <v>161</v>
      </c>
      <c r="C771" s="58" t="s">
        <v>1484</v>
      </c>
      <c r="D771" s="59" t="s">
        <v>150</v>
      </c>
      <c r="E771" s="57" t="s">
        <v>1485</v>
      </c>
      <c r="F771" s="54" t="s">
        <v>150</v>
      </c>
      <c r="G771" s="54" t="s">
        <v>164</v>
      </c>
      <c r="H771" s="54">
        <v>5</v>
      </c>
      <c r="I771" s="54">
        <v>0</v>
      </c>
      <c r="J771" s="54">
        <v>0</v>
      </c>
      <c r="K771" s="54">
        <v>14</v>
      </c>
      <c r="L771" s="23"/>
      <c r="N771" t="s">
        <v>161</v>
      </c>
    </row>
    <row r="772" spans="2:14" x14ac:dyDescent="0.25">
      <c r="B772" t="s">
        <v>161</v>
      </c>
      <c r="C772" s="58" t="s">
        <v>1486</v>
      </c>
      <c r="D772" s="59" t="s">
        <v>150</v>
      </c>
      <c r="E772" s="57" t="s">
        <v>1487</v>
      </c>
      <c r="F772" s="54" t="s">
        <v>150</v>
      </c>
      <c r="G772" s="54" t="s">
        <v>164</v>
      </c>
      <c r="H772" s="54">
        <v>5</v>
      </c>
      <c r="I772" s="54">
        <v>0</v>
      </c>
      <c r="J772" s="54">
        <v>0</v>
      </c>
      <c r="K772" s="54">
        <v>14</v>
      </c>
      <c r="L772" s="23"/>
      <c r="N772" t="s">
        <v>161</v>
      </c>
    </row>
    <row r="773" spans="2:14" x14ac:dyDescent="0.25">
      <c r="B773" t="s">
        <v>161</v>
      </c>
      <c r="C773" s="58" t="s">
        <v>1488</v>
      </c>
      <c r="D773" s="59" t="s">
        <v>150</v>
      </c>
      <c r="E773" s="57" t="s">
        <v>1489</v>
      </c>
      <c r="F773" s="54" t="s">
        <v>150</v>
      </c>
      <c r="G773" s="54" t="s">
        <v>164</v>
      </c>
      <c r="H773" s="54">
        <v>5</v>
      </c>
      <c r="I773" s="54">
        <v>0</v>
      </c>
      <c r="J773" s="54">
        <v>0</v>
      </c>
      <c r="K773" s="54">
        <v>14</v>
      </c>
      <c r="L773" s="23"/>
      <c r="N773" t="s">
        <v>161</v>
      </c>
    </row>
    <row r="774" spans="2:14" x14ac:dyDescent="0.25">
      <c r="B774" t="s">
        <v>161</v>
      </c>
      <c r="C774" s="58" t="s">
        <v>1490</v>
      </c>
      <c r="D774" s="59" t="s">
        <v>150</v>
      </c>
      <c r="E774" s="57" t="s">
        <v>1491</v>
      </c>
      <c r="F774" s="54" t="s">
        <v>150</v>
      </c>
      <c r="G774" s="54" t="s">
        <v>164</v>
      </c>
      <c r="H774" s="54">
        <v>5</v>
      </c>
      <c r="I774" s="54">
        <v>0</v>
      </c>
      <c r="J774" s="54">
        <v>0</v>
      </c>
      <c r="K774" s="54">
        <v>14</v>
      </c>
      <c r="L774" s="23"/>
      <c r="N774" t="s">
        <v>161</v>
      </c>
    </row>
    <row r="775" spans="2:14" x14ac:dyDescent="0.25">
      <c r="B775" t="s">
        <v>161</v>
      </c>
      <c r="C775" s="58" t="s">
        <v>1492</v>
      </c>
      <c r="D775" s="59" t="s">
        <v>150</v>
      </c>
      <c r="E775" s="57" t="s">
        <v>1060</v>
      </c>
      <c r="F775" s="54" t="s">
        <v>150</v>
      </c>
      <c r="G775" s="54" t="s">
        <v>164</v>
      </c>
      <c r="H775" s="54">
        <v>5</v>
      </c>
      <c r="I775" s="54">
        <v>0</v>
      </c>
      <c r="J775" s="54">
        <v>0</v>
      </c>
      <c r="K775" s="54">
        <v>14</v>
      </c>
      <c r="L775" s="23"/>
      <c r="N775" t="s">
        <v>161</v>
      </c>
    </row>
    <row r="776" spans="2:14" x14ac:dyDescent="0.25">
      <c r="B776" t="s">
        <v>161</v>
      </c>
      <c r="C776" s="58" t="s">
        <v>1493</v>
      </c>
      <c r="D776" s="59" t="s">
        <v>150</v>
      </c>
      <c r="E776" s="57" t="s">
        <v>1062</v>
      </c>
      <c r="F776" s="54" t="s">
        <v>150</v>
      </c>
      <c r="G776" s="54" t="s">
        <v>164</v>
      </c>
      <c r="H776" s="54">
        <v>5</v>
      </c>
      <c r="I776" s="54">
        <v>0</v>
      </c>
      <c r="J776" s="54">
        <v>0</v>
      </c>
      <c r="K776" s="54">
        <v>14</v>
      </c>
      <c r="L776" s="23"/>
      <c r="N776" t="s">
        <v>161</v>
      </c>
    </row>
    <row r="777" spans="2:14" x14ac:dyDescent="0.25">
      <c r="B777" t="s">
        <v>161</v>
      </c>
      <c r="C777" s="58" t="s">
        <v>1494</v>
      </c>
      <c r="D777" s="59" t="s">
        <v>150</v>
      </c>
      <c r="E777" s="57" t="s">
        <v>1495</v>
      </c>
      <c r="F777" s="54" t="s">
        <v>150</v>
      </c>
      <c r="G777" s="54" t="s">
        <v>164</v>
      </c>
      <c r="H777" s="54">
        <v>5</v>
      </c>
      <c r="I777" s="54">
        <v>0</v>
      </c>
      <c r="J777" s="54">
        <v>0</v>
      </c>
      <c r="K777" s="54">
        <v>14</v>
      </c>
      <c r="L777" s="23"/>
      <c r="N777" t="s">
        <v>161</v>
      </c>
    </row>
    <row r="778" spans="2:14" x14ac:dyDescent="0.25">
      <c r="B778" t="s">
        <v>161</v>
      </c>
      <c r="C778" s="58" t="s">
        <v>1496</v>
      </c>
      <c r="D778" s="59" t="s">
        <v>150</v>
      </c>
      <c r="E778" s="57" t="s">
        <v>1497</v>
      </c>
      <c r="F778" s="54" t="s">
        <v>150</v>
      </c>
      <c r="G778" s="54" t="s">
        <v>164</v>
      </c>
      <c r="H778" s="54">
        <v>5</v>
      </c>
      <c r="I778" s="54">
        <v>0</v>
      </c>
      <c r="J778" s="54">
        <v>0</v>
      </c>
      <c r="K778" s="54">
        <v>14</v>
      </c>
      <c r="L778" s="23"/>
      <c r="N778" t="s">
        <v>161</v>
      </c>
    </row>
    <row r="779" spans="2:14" x14ac:dyDescent="0.25">
      <c r="B779" t="s">
        <v>161</v>
      </c>
      <c r="C779" s="58" t="s">
        <v>1498</v>
      </c>
      <c r="D779" s="59" t="s">
        <v>150</v>
      </c>
      <c r="E779" s="57" t="s">
        <v>1499</v>
      </c>
      <c r="F779" s="54" t="s">
        <v>150</v>
      </c>
      <c r="G779" s="54" t="s">
        <v>164</v>
      </c>
      <c r="H779" s="54">
        <v>5</v>
      </c>
      <c r="I779" s="54">
        <v>0</v>
      </c>
      <c r="J779" s="54">
        <v>0</v>
      </c>
      <c r="K779" s="54">
        <v>14</v>
      </c>
      <c r="L779" s="23"/>
      <c r="N779" t="s">
        <v>161</v>
      </c>
    </row>
    <row r="780" spans="2:14" x14ac:dyDescent="0.25">
      <c r="B780" t="s">
        <v>161</v>
      </c>
      <c r="C780" s="58" t="s">
        <v>1500</v>
      </c>
      <c r="D780" s="59" t="s">
        <v>150</v>
      </c>
      <c r="E780" s="57" t="s">
        <v>1501</v>
      </c>
      <c r="F780" s="54" t="s">
        <v>150</v>
      </c>
      <c r="G780" s="54" t="s">
        <v>164</v>
      </c>
      <c r="H780" s="54">
        <v>5</v>
      </c>
      <c r="I780" s="54">
        <v>0</v>
      </c>
      <c r="J780" s="54">
        <v>0</v>
      </c>
      <c r="K780" s="54">
        <v>14</v>
      </c>
      <c r="L780" s="23"/>
      <c r="N780" t="s">
        <v>161</v>
      </c>
    </row>
    <row r="781" spans="2:14" x14ac:dyDescent="0.25">
      <c r="B781" t="s">
        <v>161</v>
      </c>
      <c r="C781" s="58" t="s">
        <v>1502</v>
      </c>
      <c r="D781" s="59" t="s">
        <v>152</v>
      </c>
      <c r="E781" s="57" t="s">
        <v>1503</v>
      </c>
      <c r="F781" s="54" t="s">
        <v>152</v>
      </c>
      <c r="G781" s="54" t="s">
        <v>147</v>
      </c>
      <c r="H781" s="54">
        <v>5</v>
      </c>
      <c r="I781" s="54">
        <v>0</v>
      </c>
      <c r="J781" s="54">
        <v>0</v>
      </c>
      <c r="K781" s="54">
        <v>14</v>
      </c>
      <c r="L781" s="23"/>
      <c r="N781" t="s">
        <v>161</v>
      </c>
    </row>
    <row r="782" spans="2:14" x14ac:dyDescent="0.25">
      <c r="B782" t="s">
        <v>161</v>
      </c>
      <c r="C782" s="58" t="s">
        <v>1504</v>
      </c>
      <c r="D782" s="59" t="s">
        <v>152</v>
      </c>
      <c r="E782" s="57" t="s">
        <v>1505</v>
      </c>
      <c r="F782" s="54" t="s">
        <v>152</v>
      </c>
      <c r="G782" s="54" t="s">
        <v>147</v>
      </c>
      <c r="H782" s="54">
        <v>5</v>
      </c>
      <c r="I782" s="54">
        <v>0</v>
      </c>
      <c r="J782" s="54">
        <v>0</v>
      </c>
      <c r="K782" s="54">
        <v>14</v>
      </c>
      <c r="L782" s="23"/>
      <c r="N782" t="s">
        <v>161</v>
      </c>
    </row>
    <row r="783" spans="2:14" x14ac:dyDescent="0.25">
      <c r="B783" t="s">
        <v>161</v>
      </c>
      <c r="C783" s="58" t="s">
        <v>1506</v>
      </c>
      <c r="D783" s="59" t="s">
        <v>150</v>
      </c>
      <c r="E783" s="57" t="s">
        <v>1507</v>
      </c>
      <c r="F783" s="54" t="s">
        <v>150</v>
      </c>
      <c r="G783" s="54" t="s">
        <v>164</v>
      </c>
      <c r="H783" s="54">
        <v>5</v>
      </c>
      <c r="I783" s="54">
        <v>0</v>
      </c>
      <c r="J783" s="54">
        <v>0</v>
      </c>
      <c r="K783" s="54">
        <v>14</v>
      </c>
      <c r="L783" s="23"/>
      <c r="N783" t="s">
        <v>161</v>
      </c>
    </row>
    <row r="784" spans="2:14" x14ac:dyDescent="0.25">
      <c r="B784" t="s">
        <v>161</v>
      </c>
      <c r="C784" s="58" t="s">
        <v>1508</v>
      </c>
      <c r="D784" s="59" t="s">
        <v>150</v>
      </c>
      <c r="E784" s="57" t="s">
        <v>1509</v>
      </c>
      <c r="F784" s="54" t="s">
        <v>150</v>
      </c>
      <c r="G784" s="54" t="s">
        <v>164</v>
      </c>
      <c r="H784" s="54">
        <v>5</v>
      </c>
      <c r="I784" s="54">
        <v>0</v>
      </c>
      <c r="J784" s="54">
        <v>0</v>
      </c>
      <c r="K784" s="54">
        <v>14</v>
      </c>
      <c r="L784" s="23"/>
      <c r="N784" t="s">
        <v>161</v>
      </c>
    </row>
    <row r="785" spans="2:14" x14ac:dyDescent="0.25">
      <c r="B785" t="s">
        <v>161</v>
      </c>
      <c r="C785" s="58" t="s">
        <v>1510</v>
      </c>
      <c r="D785" s="59" t="s">
        <v>152</v>
      </c>
      <c r="E785" s="57" t="s">
        <v>1511</v>
      </c>
      <c r="F785" s="54" t="s">
        <v>152</v>
      </c>
      <c r="G785" s="54" t="s">
        <v>147</v>
      </c>
      <c r="H785" s="54">
        <v>5</v>
      </c>
      <c r="I785" s="54">
        <v>0</v>
      </c>
      <c r="J785" s="54">
        <v>0</v>
      </c>
      <c r="K785" s="54">
        <v>14</v>
      </c>
      <c r="L785" s="23"/>
      <c r="N785" t="s">
        <v>161</v>
      </c>
    </row>
    <row r="786" spans="2:14" x14ac:dyDescent="0.25">
      <c r="B786" t="s">
        <v>161</v>
      </c>
      <c r="C786" s="58" t="s">
        <v>1512</v>
      </c>
      <c r="D786" s="59" t="s">
        <v>152</v>
      </c>
      <c r="E786" s="57" t="s">
        <v>1513</v>
      </c>
      <c r="F786" s="54" t="s">
        <v>152</v>
      </c>
      <c r="G786" s="54" t="s">
        <v>147</v>
      </c>
      <c r="H786" s="54">
        <v>5</v>
      </c>
      <c r="I786" s="54">
        <v>0</v>
      </c>
      <c r="J786" s="54">
        <v>0</v>
      </c>
      <c r="K786" s="54">
        <v>14</v>
      </c>
      <c r="L786" s="23"/>
      <c r="N786" t="s">
        <v>161</v>
      </c>
    </row>
    <row r="787" spans="2:14" x14ac:dyDescent="0.25">
      <c r="B787" t="s">
        <v>161</v>
      </c>
      <c r="C787" s="58" t="s">
        <v>1514</v>
      </c>
      <c r="D787" s="59" t="s">
        <v>152</v>
      </c>
      <c r="E787" s="57" t="s">
        <v>1515</v>
      </c>
      <c r="F787" s="54" t="s">
        <v>152</v>
      </c>
      <c r="G787" s="54" t="s">
        <v>147</v>
      </c>
      <c r="H787" s="54">
        <v>5</v>
      </c>
      <c r="I787" s="54">
        <v>0</v>
      </c>
      <c r="J787" s="54">
        <v>0</v>
      </c>
      <c r="K787" s="54">
        <v>14</v>
      </c>
      <c r="L787" s="23"/>
      <c r="N787" t="s">
        <v>161</v>
      </c>
    </row>
    <row r="788" spans="2:14" x14ac:dyDescent="0.25">
      <c r="B788" t="s">
        <v>161</v>
      </c>
      <c r="C788" s="58" t="s">
        <v>1516</v>
      </c>
      <c r="D788" s="59" t="s">
        <v>152</v>
      </c>
      <c r="E788" s="57" t="s">
        <v>1517</v>
      </c>
      <c r="F788" s="54" t="s">
        <v>152</v>
      </c>
      <c r="G788" s="54" t="s">
        <v>147</v>
      </c>
      <c r="H788" s="54">
        <v>5</v>
      </c>
      <c r="I788" s="54">
        <v>0</v>
      </c>
      <c r="J788" s="54">
        <v>0</v>
      </c>
      <c r="K788" s="54">
        <v>14</v>
      </c>
      <c r="L788" s="23"/>
      <c r="N788" t="s">
        <v>161</v>
      </c>
    </row>
    <row r="789" spans="2:14" x14ac:dyDescent="0.25">
      <c r="B789" t="s">
        <v>161</v>
      </c>
      <c r="C789" s="58" t="s">
        <v>1518</v>
      </c>
      <c r="D789" s="59" t="s">
        <v>151</v>
      </c>
      <c r="E789" s="57" t="s">
        <v>994</v>
      </c>
      <c r="F789" s="54" t="s">
        <v>151</v>
      </c>
      <c r="G789" s="54" t="s">
        <v>410</v>
      </c>
      <c r="H789" s="54">
        <v>5</v>
      </c>
      <c r="I789" s="54">
        <v>0</v>
      </c>
      <c r="J789" s="54">
        <v>0</v>
      </c>
      <c r="K789" s="54">
        <v>14</v>
      </c>
      <c r="L789" s="23"/>
      <c r="N789" t="s">
        <v>161</v>
      </c>
    </row>
    <row r="790" spans="2:14" ht="15.75" thickBot="1" x14ac:dyDescent="0.3">
      <c r="B790" t="s">
        <v>161</v>
      </c>
      <c r="C790" s="60" t="s">
        <v>1519</v>
      </c>
      <c r="D790" s="61" t="s">
        <v>151</v>
      </c>
      <c r="E790" s="57" t="s">
        <v>996</v>
      </c>
      <c r="F790" s="54" t="s">
        <v>151</v>
      </c>
      <c r="G790" s="54" t="s">
        <v>410</v>
      </c>
      <c r="H790" s="54">
        <v>5</v>
      </c>
      <c r="I790" s="54">
        <v>0</v>
      </c>
      <c r="J790" s="54">
        <v>0</v>
      </c>
      <c r="K790" s="54">
        <v>14</v>
      </c>
      <c r="L790" s="23"/>
      <c r="N790" t="s">
        <v>161</v>
      </c>
    </row>
  </sheetData>
  <mergeCells count="4">
    <mergeCell ref="F2:I2"/>
    <mergeCell ref="A7:A10"/>
    <mergeCell ref="A3:C3"/>
    <mergeCell ref="A13:C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B132"/>
  <sheetViews>
    <sheetView zoomScale="115" zoomScaleNormal="115" workbookViewId="0">
      <selection activeCell="D15" sqref="D15"/>
    </sheetView>
  </sheetViews>
  <sheetFormatPr defaultColWidth="23.42578125" defaultRowHeight="12.75" x14ac:dyDescent="0.2"/>
  <cols>
    <col min="1" max="1" width="31.7109375" style="13" customWidth="1"/>
    <col min="2" max="2" width="43.85546875" style="13" customWidth="1"/>
    <col min="3" max="3" width="53.28515625" style="13" customWidth="1"/>
    <col min="4" max="4" width="55.28515625" style="13" customWidth="1"/>
    <col min="5" max="5" width="61" style="13" customWidth="1"/>
    <col min="6" max="6" width="63.5703125" style="13" customWidth="1"/>
    <col min="7" max="16384" width="23.42578125" style="13"/>
  </cols>
  <sheetData>
    <row r="1" spans="1:28" ht="54" customHeight="1" x14ac:dyDescent="0.2">
      <c r="A1" s="13" t="s">
        <v>128</v>
      </c>
      <c r="B1" s="81"/>
    </row>
    <row r="2" spans="1:28" x14ac:dyDescent="0.2">
      <c r="B2" s="82" t="s">
        <v>1575</v>
      </c>
      <c r="C2" s="80" t="s">
        <v>1574</v>
      </c>
      <c r="D2" s="14" t="s">
        <v>35</v>
      </c>
      <c r="E2" s="14" t="s">
        <v>35</v>
      </c>
      <c r="F2" s="14" t="s">
        <v>35</v>
      </c>
      <c r="G2" s="14"/>
      <c r="H2" s="14" t="s">
        <v>35</v>
      </c>
      <c r="I2" s="14" t="s">
        <v>35</v>
      </c>
      <c r="J2" s="14" t="s">
        <v>35</v>
      </c>
      <c r="K2" s="14" t="s">
        <v>35</v>
      </c>
      <c r="L2" s="14" t="s">
        <v>35</v>
      </c>
      <c r="M2" s="14" t="s">
        <v>35</v>
      </c>
      <c r="N2" s="14" t="s">
        <v>35</v>
      </c>
      <c r="O2" s="14" t="s">
        <v>35</v>
      </c>
      <c r="P2" s="14" t="s">
        <v>35</v>
      </c>
      <c r="Q2" s="14" t="s">
        <v>35</v>
      </c>
      <c r="R2" s="14" t="s">
        <v>35</v>
      </c>
      <c r="S2" s="14" t="s">
        <v>35</v>
      </c>
      <c r="T2" s="14" t="s">
        <v>35</v>
      </c>
      <c r="U2" s="14" t="s">
        <v>35</v>
      </c>
      <c r="V2" s="14" t="s">
        <v>35</v>
      </c>
      <c r="W2" s="14" t="s">
        <v>35</v>
      </c>
      <c r="X2" s="14" t="s">
        <v>35</v>
      </c>
      <c r="Y2" s="14" t="s">
        <v>35</v>
      </c>
      <c r="Z2" s="14" t="s">
        <v>35</v>
      </c>
      <c r="AA2" s="14" t="s">
        <v>35</v>
      </c>
      <c r="AB2" s="14" t="s">
        <v>35</v>
      </c>
    </row>
    <row r="3" spans="1:28" x14ac:dyDescent="0.2">
      <c r="B3" s="81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</row>
    <row r="4" spans="1:28" x14ac:dyDescent="0.2">
      <c r="B4" s="82" t="s">
        <v>36</v>
      </c>
      <c r="C4" s="79" t="s">
        <v>1564</v>
      </c>
      <c r="D4" s="13" t="s">
        <v>37</v>
      </c>
      <c r="E4" s="13" t="s">
        <v>38</v>
      </c>
      <c r="F4" s="13" t="s">
        <v>38</v>
      </c>
      <c r="G4" s="14"/>
      <c r="H4" s="14" t="s">
        <v>38</v>
      </c>
      <c r="I4" s="14" t="s">
        <v>37</v>
      </c>
      <c r="J4" s="14" t="s">
        <v>38</v>
      </c>
      <c r="K4" s="14" t="s">
        <v>37</v>
      </c>
      <c r="L4" s="14" t="s">
        <v>38</v>
      </c>
      <c r="M4" s="14" t="s">
        <v>38</v>
      </c>
      <c r="N4" s="14" t="s">
        <v>37</v>
      </c>
      <c r="O4" s="14" t="s">
        <v>38</v>
      </c>
      <c r="P4" s="14" t="s">
        <v>38</v>
      </c>
      <c r="Q4" s="14" t="s">
        <v>37</v>
      </c>
      <c r="R4" s="14" t="s">
        <v>38</v>
      </c>
      <c r="S4" s="14" t="s">
        <v>38</v>
      </c>
      <c r="T4" s="14" t="s">
        <v>37</v>
      </c>
      <c r="U4" s="14" t="s">
        <v>38</v>
      </c>
      <c r="V4" s="14" t="s">
        <v>38</v>
      </c>
      <c r="W4" s="14" t="s">
        <v>37</v>
      </c>
      <c r="X4" s="14" t="s">
        <v>38</v>
      </c>
      <c r="Y4" s="14" t="s">
        <v>38</v>
      </c>
      <c r="Z4" s="14" t="s">
        <v>37</v>
      </c>
      <c r="AA4" s="14" t="s">
        <v>38</v>
      </c>
      <c r="AB4" s="14" t="s">
        <v>38</v>
      </c>
    </row>
    <row r="5" spans="1:28" x14ac:dyDescent="0.2">
      <c r="B5" s="82" t="s">
        <v>39</v>
      </c>
      <c r="C5" s="79" t="s">
        <v>1565</v>
      </c>
      <c r="D5" s="14" t="s">
        <v>40</v>
      </c>
      <c r="E5" s="14" t="s">
        <v>41</v>
      </c>
      <c r="F5" s="14" t="s">
        <v>41</v>
      </c>
      <c r="G5" s="14"/>
      <c r="H5" s="14" t="s">
        <v>40</v>
      </c>
      <c r="I5" s="14" t="s">
        <v>40</v>
      </c>
      <c r="J5" s="14" t="s">
        <v>41</v>
      </c>
      <c r="K5" s="14" t="s">
        <v>40</v>
      </c>
      <c r="L5" s="14" t="s">
        <v>40</v>
      </c>
      <c r="M5" s="14" t="s">
        <v>40</v>
      </c>
      <c r="N5" s="14" t="s">
        <v>40</v>
      </c>
      <c r="O5" s="14" t="s">
        <v>40</v>
      </c>
      <c r="P5" s="14" t="s">
        <v>40</v>
      </c>
      <c r="Q5" s="14" t="s">
        <v>40</v>
      </c>
      <c r="R5" s="14" t="s">
        <v>41</v>
      </c>
      <c r="S5" s="14" t="s">
        <v>41</v>
      </c>
      <c r="T5" s="14" t="s">
        <v>40</v>
      </c>
      <c r="U5" s="14" t="s">
        <v>41</v>
      </c>
      <c r="V5" s="14" t="s">
        <v>41</v>
      </c>
      <c r="W5" s="14" t="s">
        <v>40</v>
      </c>
      <c r="X5" s="14" t="s">
        <v>41</v>
      </c>
      <c r="Y5" s="14" t="s">
        <v>41</v>
      </c>
      <c r="Z5" s="14" t="s">
        <v>40</v>
      </c>
      <c r="AA5" s="14" t="s">
        <v>41</v>
      </c>
      <c r="AB5" s="14" t="s">
        <v>41</v>
      </c>
    </row>
    <row r="6" spans="1:28" x14ac:dyDescent="0.2">
      <c r="B6" s="82"/>
      <c r="C6" s="79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</row>
    <row r="7" spans="1:28" x14ac:dyDescent="0.2">
      <c r="B7" s="82" t="s">
        <v>29</v>
      </c>
      <c r="C7" s="79" t="s">
        <v>1566</v>
      </c>
      <c r="D7" s="14" t="s">
        <v>42</v>
      </c>
      <c r="E7" s="14" t="s">
        <v>43</v>
      </c>
      <c r="F7" s="14" t="s">
        <v>44</v>
      </c>
      <c r="G7" s="14"/>
      <c r="H7" s="14" t="s">
        <v>45</v>
      </c>
      <c r="I7" s="14" t="s">
        <v>46</v>
      </c>
      <c r="J7" s="14" t="s">
        <v>47</v>
      </c>
      <c r="K7" s="14" t="s">
        <v>48</v>
      </c>
      <c r="L7" s="14" t="s">
        <v>49</v>
      </c>
      <c r="M7" s="14" t="s">
        <v>50</v>
      </c>
      <c r="N7" s="14" t="s">
        <v>51</v>
      </c>
      <c r="O7" s="14" t="s">
        <v>52</v>
      </c>
      <c r="P7" s="14" t="s">
        <v>53</v>
      </c>
      <c r="Q7" s="14" t="s">
        <v>54</v>
      </c>
      <c r="R7" s="14" t="s">
        <v>55</v>
      </c>
      <c r="S7" s="14" t="s">
        <v>56</v>
      </c>
      <c r="T7" s="14" t="s">
        <v>57</v>
      </c>
      <c r="U7" s="14" t="s">
        <v>58</v>
      </c>
      <c r="V7" s="14" t="s">
        <v>59</v>
      </c>
      <c r="W7" s="14" t="s">
        <v>60</v>
      </c>
      <c r="X7" s="14" t="s">
        <v>61</v>
      </c>
      <c r="Y7" s="14" t="s">
        <v>62</v>
      </c>
      <c r="Z7" s="14" t="s">
        <v>63</v>
      </c>
      <c r="AA7" s="14" t="s">
        <v>43</v>
      </c>
      <c r="AB7" s="14" t="s">
        <v>44</v>
      </c>
    </row>
    <row r="8" spans="1:28" x14ac:dyDescent="0.2">
      <c r="B8" s="82" t="s">
        <v>30</v>
      </c>
      <c r="C8" s="79" t="s">
        <v>1567</v>
      </c>
      <c r="D8" s="14" t="s">
        <v>64</v>
      </c>
      <c r="E8" s="14" t="s">
        <v>65</v>
      </c>
      <c r="F8" s="14" t="s">
        <v>66</v>
      </c>
      <c r="G8" s="14"/>
      <c r="H8" s="14" t="s">
        <v>67</v>
      </c>
      <c r="I8" s="14" t="s">
        <v>68</v>
      </c>
      <c r="J8" s="14" t="s">
        <v>69</v>
      </c>
      <c r="K8" s="14" t="s">
        <v>70</v>
      </c>
      <c r="L8" s="14" t="s">
        <v>71</v>
      </c>
      <c r="M8" s="14" t="s">
        <v>72</v>
      </c>
      <c r="N8" s="14" t="s">
        <v>73</v>
      </c>
      <c r="O8" s="14" t="s">
        <v>74</v>
      </c>
      <c r="P8" s="14" t="s">
        <v>75</v>
      </c>
      <c r="Q8" s="14" t="s">
        <v>76</v>
      </c>
      <c r="R8" s="14" t="s">
        <v>77</v>
      </c>
      <c r="S8" s="14" t="s">
        <v>78</v>
      </c>
      <c r="T8" s="14" t="s">
        <v>79</v>
      </c>
      <c r="U8" s="14" t="s">
        <v>80</v>
      </c>
      <c r="V8" s="14" t="s">
        <v>81</v>
      </c>
      <c r="W8" s="14" t="s">
        <v>82</v>
      </c>
      <c r="X8" s="14" t="s">
        <v>83</v>
      </c>
      <c r="Y8" s="14" t="s">
        <v>84</v>
      </c>
      <c r="Z8" s="14" t="s">
        <v>85</v>
      </c>
      <c r="AA8" s="14" t="s">
        <v>65</v>
      </c>
      <c r="AB8" s="14" t="s">
        <v>66</v>
      </c>
    </row>
    <row r="9" spans="1:28" x14ac:dyDescent="0.2">
      <c r="B9" s="82"/>
      <c r="C9" s="79"/>
    </row>
    <row r="10" spans="1:28" x14ac:dyDescent="0.2">
      <c r="B10" s="82" t="s">
        <v>86</v>
      </c>
      <c r="C10" s="80" t="s">
        <v>1580</v>
      </c>
      <c r="D10" s="14" t="s">
        <v>87</v>
      </c>
      <c r="E10" s="14" t="s">
        <v>88</v>
      </c>
      <c r="F10" s="14" t="s">
        <v>89</v>
      </c>
      <c r="G10" s="14"/>
      <c r="H10" s="14" t="s">
        <v>90</v>
      </c>
      <c r="I10" s="14" t="s">
        <v>91</v>
      </c>
      <c r="J10" s="14" t="s">
        <v>92</v>
      </c>
      <c r="K10" s="14" t="s">
        <v>93</v>
      </c>
      <c r="L10" s="14" t="s">
        <v>94</v>
      </c>
      <c r="M10" s="14" t="s">
        <v>95</v>
      </c>
      <c r="N10" s="14" t="s">
        <v>96</v>
      </c>
      <c r="O10" s="14" t="s">
        <v>97</v>
      </c>
      <c r="P10" s="14" t="s">
        <v>98</v>
      </c>
      <c r="Q10" s="14" t="s">
        <v>99</v>
      </c>
      <c r="R10" s="14" t="s">
        <v>100</v>
      </c>
      <c r="S10" s="14" t="s">
        <v>101</v>
      </c>
      <c r="T10" s="14" t="s">
        <v>102</v>
      </c>
      <c r="U10" s="14" t="s">
        <v>103</v>
      </c>
      <c r="V10" s="14" t="s">
        <v>104</v>
      </c>
      <c r="W10" s="14" t="s">
        <v>105</v>
      </c>
      <c r="X10" s="14" t="s">
        <v>106</v>
      </c>
      <c r="Y10" s="14" t="s">
        <v>107</v>
      </c>
      <c r="Z10" s="14" t="s">
        <v>108</v>
      </c>
      <c r="AA10" s="14" t="s">
        <v>88</v>
      </c>
      <c r="AB10" s="14" t="s">
        <v>89</v>
      </c>
    </row>
    <row r="11" spans="1:28" ht="57" customHeight="1" x14ac:dyDescent="0.2">
      <c r="B11" s="82"/>
      <c r="C11" s="77" t="s">
        <v>1588</v>
      </c>
    </row>
    <row r="12" spans="1:28" ht="129.75" customHeight="1" x14ac:dyDescent="0.2">
      <c r="B12" s="83" t="s">
        <v>109</v>
      </c>
      <c r="C12" s="78" t="s">
        <v>1568</v>
      </c>
      <c r="D12" s="15" t="s">
        <v>110</v>
      </c>
      <c r="E12" s="15" t="s">
        <v>110</v>
      </c>
      <c r="F12" s="15" t="s">
        <v>110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</row>
    <row r="13" spans="1:28" x14ac:dyDescent="0.2">
      <c r="B13" s="81"/>
      <c r="D13" s="16"/>
      <c r="E13" s="16"/>
      <c r="F13" s="16"/>
      <c r="G13" s="16"/>
    </row>
    <row r="14" spans="1:28" x14ac:dyDescent="0.2">
      <c r="A14" s="15"/>
      <c r="B14" s="84" t="s">
        <v>111</v>
      </c>
      <c r="C14" s="85" t="s">
        <v>1576</v>
      </c>
      <c r="D14" s="15"/>
    </row>
    <row r="15" spans="1:28" ht="51" x14ac:dyDescent="0.2">
      <c r="A15" s="15"/>
      <c r="B15" s="84" t="s">
        <v>112</v>
      </c>
      <c r="C15" s="85" t="s">
        <v>1577</v>
      </c>
      <c r="D15" s="15"/>
    </row>
    <row r="16" spans="1:28" ht="38.25" x14ac:dyDescent="0.2">
      <c r="A16" s="15"/>
      <c r="B16" s="84" t="s">
        <v>1582</v>
      </c>
      <c r="C16" s="85" t="s">
        <v>1578</v>
      </c>
      <c r="D16" s="15"/>
    </row>
    <row r="17" spans="1:8" ht="25.5" x14ac:dyDescent="0.2">
      <c r="A17" s="15"/>
      <c r="B17" s="84" t="s">
        <v>1583</v>
      </c>
      <c r="C17" s="85" t="s">
        <v>1581</v>
      </c>
      <c r="D17" s="15"/>
    </row>
    <row r="18" spans="1:8" ht="38.25" x14ac:dyDescent="0.2">
      <c r="A18" s="15"/>
      <c r="B18" s="84" t="s">
        <v>1584</v>
      </c>
      <c r="C18" s="85" t="s">
        <v>1579</v>
      </c>
      <c r="D18" s="15"/>
    </row>
    <row r="19" spans="1:8" x14ac:dyDescent="0.2">
      <c r="A19" s="15"/>
      <c r="B19" s="84"/>
      <c r="C19" s="85"/>
      <c r="D19" s="15"/>
    </row>
    <row r="20" spans="1:8" ht="38.25" x14ac:dyDescent="0.2">
      <c r="A20" s="15"/>
      <c r="B20" s="84" t="s">
        <v>113</v>
      </c>
      <c r="C20" s="15" t="s">
        <v>1585</v>
      </c>
      <c r="D20" s="15"/>
    </row>
    <row r="21" spans="1:8" ht="40.5" customHeight="1" x14ac:dyDescent="0.2">
      <c r="A21" s="15"/>
      <c r="B21" s="84" t="s">
        <v>114</v>
      </c>
      <c r="C21" s="85" t="s">
        <v>1586</v>
      </c>
      <c r="D21" s="15"/>
    </row>
    <row r="22" spans="1:8" x14ac:dyDescent="0.2">
      <c r="A22" s="15"/>
      <c r="B22" s="84"/>
      <c r="C22" s="85" t="s">
        <v>1587</v>
      </c>
      <c r="D22" s="15"/>
    </row>
    <row r="23" spans="1:8" ht="38.25" x14ac:dyDescent="0.2">
      <c r="A23" s="84" t="s">
        <v>1569</v>
      </c>
      <c r="B23" s="84" t="s">
        <v>115</v>
      </c>
      <c r="C23" s="85"/>
      <c r="D23" s="85" t="s">
        <v>115</v>
      </c>
      <c r="E23" s="14"/>
      <c r="F23" s="14"/>
      <c r="G23" s="14"/>
      <c r="H23" s="14" t="s">
        <v>116</v>
      </c>
    </row>
    <row r="24" spans="1:8" ht="38.25" x14ac:dyDescent="0.2">
      <c r="A24" s="84" t="s">
        <v>1570</v>
      </c>
      <c r="B24" s="84" t="s">
        <v>117</v>
      </c>
      <c r="C24" s="85"/>
      <c r="D24" s="85" t="s">
        <v>117</v>
      </c>
      <c r="E24" s="14"/>
      <c r="F24" s="14"/>
      <c r="G24" s="14"/>
      <c r="H24" s="14" t="s">
        <v>118</v>
      </c>
    </row>
    <row r="25" spans="1:8" ht="51" x14ac:dyDescent="0.2">
      <c r="A25" s="84" t="s">
        <v>1571</v>
      </c>
      <c r="B25" s="84" t="s">
        <v>119</v>
      </c>
      <c r="C25" s="85"/>
      <c r="D25" s="85" t="s">
        <v>119</v>
      </c>
      <c r="E25" s="14"/>
      <c r="F25" s="14"/>
      <c r="G25" s="14"/>
      <c r="H25" s="14" t="s">
        <v>120</v>
      </c>
    </row>
    <row r="26" spans="1:8" ht="63.75" x14ac:dyDescent="0.2">
      <c r="A26" s="84" t="s">
        <v>1572</v>
      </c>
      <c r="B26" s="84" t="s">
        <v>121</v>
      </c>
      <c r="C26" s="85"/>
      <c r="D26" s="85" t="s">
        <v>121</v>
      </c>
      <c r="E26" s="14"/>
      <c r="F26" s="14"/>
      <c r="G26" s="14"/>
      <c r="H26" s="14" t="s">
        <v>122</v>
      </c>
    </row>
    <row r="27" spans="1:8" x14ac:dyDescent="0.2">
      <c r="A27" s="84" t="s">
        <v>1573</v>
      </c>
      <c r="B27" s="84" t="s">
        <v>123</v>
      </c>
      <c r="C27" s="85"/>
      <c r="D27" s="85" t="s">
        <v>123</v>
      </c>
      <c r="E27" s="14"/>
      <c r="F27" s="14"/>
      <c r="G27" s="14"/>
      <c r="H27" s="14" t="s">
        <v>124</v>
      </c>
    </row>
    <row r="28" spans="1:8" x14ac:dyDescent="0.2">
      <c r="A28" s="15"/>
      <c r="B28" s="84" t="s">
        <v>125</v>
      </c>
      <c r="C28" s="15"/>
      <c r="D28" s="85" t="s">
        <v>125</v>
      </c>
      <c r="E28" s="14"/>
      <c r="F28" s="14"/>
      <c r="G28" s="14"/>
    </row>
    <row r="29" spans="1:8" ht="25.5" x14ac:dyDescent="0.2">
      <c r="A29" s="15"/>
      <c r="B29" s="84" t="s">
        <v>126</v>
      </c>
      <c r="C29" s="15"/>
      <c r="D29" s="85" t="s">
        <v>126</v>
      </c>
      <c r="E29" s="14"/>
      <c r="F29" s="14"/>
      <c r="G29" s="14"/>
    </row>
    <row r="30" spans="1:8" ht="25.5" x14ac:dyDescent="0.2">
      <c r="A30" s="15"/>
      <c r="B30" s="84" t="s">
        <v>127</v>
      </c>
      <c r="C30" s="15"/>
      <c r="D30" s="85" t="s">
        <v>127</v>
      </c>
      <c r="E30" s="14"/>
      <c r="F30" s="14"/>
      <c r="G30" s="14"/>
    </row>
    <row r="31" spans="1:8" x14ac:dyDescent="0.2">
      <c r="B31" s="14"/>
      <c r="C31" s="14"/>
    </row>
    <row r="34" spans="2:13" x14ac:dyDescent="0.2">
      <c r="B34" s="14"/>
      <c r="C34" s="14"/>
    </row>
    <row r="37" spans="2:13" x14ac:dyDescent="0.2">
      <c r="H37" s="14"/>
    </row>
    <row r="40" spans="2:13" x14ac:dyDescent="0.2">
      <c r="M40" s="17">
        <f ca="1">NOW()</f>
        <v>42250.995880555558</v>
      </c>
    </row>
    <row r="41" spans="2:13" x14ac:dyDescent="0.2">
      <c r="K41" s="18">
        <v>17953</v>
      </c>
      <c r="M41" s="19">
        <f t="shared" ref="M41:M46" ca="1" si="0">$M$40-K41</f>
        <v>24297.995880555558</v>
      </c>
    </row>
    <row r="42" spans="2:13" x14ac:dyDescent="0.2">
      <c r="K42" s="18">
        <v>26744</v>
      </c>
      <c r="L42" s="13">
        <f>K42-$K$41</f>
        <v>8791</v>
      </c>
      <c r="M42" s="19">
        <f t="shared" ca="1" si="0"/>
        <v>15506.995880555558</v>
      </c>
    </row>
    <row r="43" spans="2:13" x14ac:dyDescent="0.2">
      <c r="K43" s="18">
        <v>30345</v>
      </c>
      <c r="L43" s="13">
        <f>K43-$K$41</f>
        <v>12392</v>
      </c>
      <c r="M43" s="19">
        <f t="shared" ca="1" si="0"/>
        <v>11905.995880555558</v>
      </c>
    </row>
    <row r="44" spans="2:13" x14ac:dyDescent="0.2">
      <c r="K44" s="18">
        <v>27389</v>
      </c>
      <c r="L44" s="13">
        <f>K44-$K$41</f>
        <v>9436</v>
      </c>
      <c r="M44" s="19">
        <f t="shared" ca="1" si="0"/>
        <v>14861.995880555558</v>
      </c>
    </row>
    <row r="45" spans="2:13" x14ac:dyDescent="0.2">
      <c r="H45" s="20"/>
      <c r="K45" s="18">
        <v>39607</v>
      </c>
      <c r="L45" s="13">
        <f>K45-K44</f>
        <v>12218</v>
      </c>
      <c r="M45" s="19">
        <f t="shared" ca="1" si="0"/>
        <v>2643.995880555558</v>
      </c>
    </row>
    <row r="46" spans="2:13" x14ac:dyDescent="0.2">
      <c r="K46" s="18">
        <v>28553</v>
      </c>
      <c r="L46" s="13">
        <f>K45-K46</f>
        <v>11054</v>
      </c>
      <c r="M46" s="19">
        <f t="shared" ca="1" si="0"/>
        <v>13697.995880555558</v>
      </c>
    </row>
    <row r="48" spans="2:13" x14ac:dyDescent="0.2">
      <c r="K48" s="17">
        <v>37853.833333333336</v>
      </c>
      <c r="L48" s="21">
        <f>VALUE(K48)</f>
        <v>37853.833333333336</v>
      </c>
    </row>
    <row r="49" spans="4:14" x14ac:dyDescent="0.2">
      <c r="K49" s="17">
        <v>38983.583333333336</v>
      </c>
      <c r="L49" s="21">
        <f>K49</f>
        <v>38983.583333333336</v>
      </c>
      <c r="M49" s="13">
        <f>L49-L48</f>
        <v>1129.75</v>
      </c>
    </row>
    <row r="50" spans="4:14" x14ac:dyDescent="0.2">
      <c r="D50" s="22"/>
      <c r="E50" s="22"/>
      <c r="F50" s="22"/>
      <c r="G50" s="22"/>
      <c r="K50" s="17">
        <f ca="1">NOW()</f>
        <v>42250.995880555558</v>
      </c>
      <c r="L50" s="21">
        <f ca="1">K50</f>
        <v>42250.995880555558</v>
      </c>
      <c r="M50" s="13">
        <f ca="1">L50-L49</f>
        <v>3267.4125472222222</v>
      </c>
      <c r="N50" s="17">
        <f>L49+M49</f>
        <v>40113.333333333336</v>
      </c>
    </row>
    <row r="51" spans="4:14" x14ac:dyDescent="0.2">
      <c r="D51" s="22"/>
      <c r="E51" s="22"/>
      <c r="F51" s="22"/>
      <c r="G51" s="22"/>
    </row>
    <row r="52" spans="4:14" x14ac:dyDescent="0.2">
      <c r="D52" s="22"/>
      <c r="E52" s="22"/>
      <c r="F52" s="22"/>
      <c r="G52" s="22"/>
    </row>
    <row r="53" spans="4:14" x14ac:dyDescent="0.2">
      <c r="D53" s="22"/>
      <c r="E53" s="22"/>
      <c r="F53" s="22"/>
      <c r="G53" s="22"/>
    </row>
    <row r="66" spans="4:7" x14ac:dyDescent="0.2">
      <c r="D66" s="22"/>
      <c r="E66" s="22"/>
      <c r="F66" s="22"/>
      <c r="G66" s="22"/>
    </row>
    <row r="67" spans="4:7" x14ac:dyDescent="0.2">
      <c r="D67" s="22"/>
      <c r="E67" s="22"/>
      <c r="F67" s="22"/>
      <c r="G67" s="22"/>
    </row>
    <row r="68" spans="4:7" x14ac:dyDescent="0.2">
      <c r="D68" s="22"/>
      <c r="E68" s="22"/>
      <c r="F68" s="22"/>
      <c r="G68" s="22"/>
    </row>
    <row r="69" spans="4:7" x14ac:dyDescent="0.2">
      <c r="D69" s="22"/>
      <c r="E69" s="22"/>
      <c r="F69" s="22"/>
      <c r="G69" s="22"/>
    </row>
    <row r="70" spans="4:7" x14ac:dyDescent="0.2">
      <c r="D70" s="22"/>
      <c r="E70" s="22"/>
      <c r="F70" s="22"/>
      <c r="G70" s="22"/>
    </row>
    <row r="71" spans="4:7" x14ac:dyDescent="0.2">
      <c r="D71" s="22"/>
      <c r="E71" s="22"/>
      <c r="F71" s="22"/>
      <c r="G71" s="22"/>
    </row>
    <row r="78" spans="4:7" x14ac:dyDescent="0.2">
      <c r="D78" s="22"/>
      <c r="E78" s="22"/>
      <c r="F78" s="22"/>
      <c r="G78" s="22"/>
    </row>
    <row r="79" spans="4:7" x14ac:dyDescent="0.2">
      <c r="D79" s="22"/>
      <c r="E79" s="22"/>
      <c r="F79" s="22"/>
      <c r="G79" s="22"/>
    </row>
    <row r="80" spans="4:7" x14ac:dyDescent="0.2">
      <c r="D80" s="22"/>
      <c r="E80" s="22"/>
      <c r="F80" s="22"/>
      <c r="G80" s="22"/>
    </row>
    <row r="81" spans="4:7" x14ac:dyDescent="0.2">
      <c r="D81" s="22"/>
      <c r="E81" s="22"/>
      <c r="F81" s="22"/>
      <c r="G81" s="22"/>
    </row>
    <row r="86" spans="4:7" x14ac:dyDescent="0.2">
      <c r="D86" s="22"/>
      <c r="E86" s="22"/>
      <c r="F86" s="22"/>
      <c r="G86" s="22"/>
    </row>
    <row r="87" spans="4:7" x14ac:dyDescent="0.2">
      <c r="D87" s="22"/>
      <c r="E87" s="22"/>
      <c r="F87" s="22"/>
      <c r="G87" s="22"/>
    </row>
    <row r="94" spans="4:7" x14ac:dyDescent="0.2">
      <c r="D94" s="22"/>
      <c r="E94" s="22"/>
      <c r="F94" s="22"/>
      <c r="G94" s="22"/>
    </row>
    <row r="95" spans="4:7" x14ac:dyDescent="0.2">
      <c r="D95" s="22"/>
      <c r="E95" s="22"/>
      <c r="F95" s="22"/>
      <c r="G95" s="22"/>
    </row>
    <row r="104" spans="4:7" x14ac:dyDescent="0.2">
      <c r="D104" s="22"/>
      <c r="E104" s="22"/>
      <c r="F104" s="22"/>
      <c r="G104" s="22"/>
    </row>
    <row r="105" spans="4:7" x14ac:dyDescent="0.2">
      <c r="D105" s="22"/>
      <c r="E105" s="22"/>
      <c r="F105" s="22"/>
      <c r="G105" s="22"/>
    </row>
    <row r="110" spans="4:7" x14ac:dyDescent="0.2">
      <c r="D110" s="22"/>
      <c r="E110" s="22"/>
      <c r="F110" s="22"/>
      <c r="G110" s="22"/>
    </row>
    <row r="111" spans="4:7" x14ac:dyDescent="0.2">
      <c r="D111" s="22"/>
      <c r="E111" s="22"/>
      <c r="F111" s="22"/>
      <c r="G111" s="22"/>
    </row>
    <row r="120" spans="4:7" x14ac:dyDescent="0.2">
      <c r="D120" s="22"/>
      <c r="E120" s="22"/>
      <c r="F120" s="22"/>
      <c r="G120" s="22"/>
    </row>
    <row r="127" spans="4:7" x14ac:dyDescent="0.2">
      <c r="D127" s="22"/>
      <c r="E127" s="22"/>
      <c r="F127" s="22"/>
      <c r="G127" s="22"/>
    </row>
    <row r="128" spans="4:7" x14ac:dyDescent="0.2">
      <c r="D128" s="22"/>
      <c r="E128" s="22"/>
      <c r="F128" s="22"/>
      <c r="G128" s="22"/>
    </row>
    <row r="131" spans="4:7" x14ac:dyDescent="0.2">
      <c r="D131" s="22"/>
      <c r="E131" s="22"/>
      <c r="F131" s="22"/>
      <c r="G131" s="22"/>
    </row>
    <row r="132" spans="4:7" x14ac:dyDescent="0.2">
      <c r="D132" s="22"/>
      <c r="E132" s="22"/>
      <c r="F132" s="22"/>
      <c r="G132" s="22"/>
    </row>
  </sheetData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r_to_cell">
                <anchor moveWithCells="1" sizeWithCells="1">
                  <from>
                    <xdr:col>0</xdr:col>
                    <xdr:colOff>142875</xdr:colOff>
                    <xdr:row>0</xdr:row>
                    <xdr:rowOff>38100</xdr:rowOff>
                  </from>
                  <to>
                    <xdr:col>0</xdr:col>
                    <xdr:colOff>1495425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_Lines_Mover">
                <anchor moveWithCells="1" sizeWithCells="1">
                  <from>
                    <xdr:col>2</xdr:col>
                    <xdr:colOff>904875</xdr:colOff>
                    <xdr:row>10</xdr:row>
                    <xdr:rowOff>57150</xdr:rowOff>
                  </from>
                  <to>
                    <xdr:col>2</xdr:col>
                    <xdr:colOff>2600325</xdr:colOff>
                    <xdr:row>10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NET_PARAMETERS</vt:lpstr>
      <vt:lpstr>Cones_tool</vt:lpstr>
      <vt:lpstr>Sample_Data_for_Cones_tool</vt:lpstr>
      <vt:lpstr>Line_Mover_tool</vt:lpstr>
      <vt:lpstr>Trunk_feeder_tool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Arthur</cp:lastModifiedBy>
  <dcterms:created xsi:type="dcterms:W3CDTF">2015-08-26T15:24:35Z</dcterms:created>
  <dcterms:modified xsi:type="dcterms:W3CDTF">2015-09-04T05:10:30Z</dcterms:modified>
</cp:coreProperties>
</file>